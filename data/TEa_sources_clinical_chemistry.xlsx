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TEa input" sheetId="2" state="visible" r:id="rId4"/>
    <sheet name="Sigma" sheetId="3" state="visible" r:id="rId5"/>
    <sheet name="For the tool" sheetId="4" state="visible" r:id="rId6"/>
    <sheet name="References" sheetId="5" state="visible" r:id="rId7"/>
  </sheets>
  <definedNames>
    <definedName function="false" hidden="true" localSheetId="3" name="_xlnm._FilterDatabase" vbProcedure="false">'For the tool'!$A$4:$E$1012</definedName>
    <definedName function="false" hidden="true" localSheetId="2" name="_xlnm._FilterDatabase" vbProcedure="false">Sigma!$A$5:$AP$138</definedName>
    <definedName function="false" hidden="true" localSheetId="1" name="_xlnm._FilterDatabase" vbProcedure="false">'TEa input'!$A$5:$AH$68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CLIA gives most limits as '±% or ±absolute, whichever is greater', around the PT sample target. Only the % limit is used.</t>
        </r>
      </text>
    </comment>
    <comment ref="T6" authorId="0">
      <text>
        <r>
          <rPr>
            <sz val="10"/>
            <rFont val="Arial"/>
            <family val="2"/>
          </rPr>
          <t xml:space="preserve">Ek-1/A Table 1, row 20: DKD sapma sınırı HD ± %9; IKK CV ≤ 4%.</t>
        </r>
      </text>
    </comment>
    <comment ref="T7" authorId="0">
      <text>
        <r>
          <rPr>
            <sz val="10"/>
            <rFont val="Arial"/>
            <family val="2"/>
          </rPr>
          <t xml:space="preserve">Ek-1/A Table 1, row 16: DKD sapma sınırı HD ± %20 or ± 0.4 mg/dL (whichever greater); IKK CV ≤ 5%.</t>
        </r>
      </text>
    </comment>
    <comment ref="T8" authorId="0">
      <text>
        <r>
          <rPr>
            <sz val="10"/>
            <rFont val="Arial"/>
            <family val="2"/>
          </rPr>
          <t xml:space="preserve">Ek-1/A Table 1, row 6: DKD sapma sınırı HD ± %20 or ± 6 U/L (whichever greater); IKK CV ≤ 6%.</t>
        </r>
      </text>
    </comment>
    <comment ref="T9" authorId="0">
      <text>
        <r>
          <rPr>
            <sz val="10"/>
            <rFont val="Arial"/>
            <family val="2"/>
          </rPr>
          <t xml:space="preserve">Ek-1/A Table 1, row 12: DKD sapma sınırı HD ± %10 or ± 6 mg/dL (whichever greater); IKK CV ≤ 5%.</t>
        </r>
      </text>
    </comment>
    <comment ref="T10" authorId="0">
      <text>
        <r>
          <rPr>
            <sz val="10"/>
            <rFont val="Arial"/>
            <family val="2"/>
          </rPr>
          <t xml:space="preserve">Ek-1/A Table 1, row 14: DKD sapma sınırı HD ± %10 or ± 1.0 mg/dL (whichever greater); IKK CV ≤ 5%.</t>
        </r>
      </text>
    </comment>
    <comment ref="T11" authorId="0">
      <text>
        <r>
          <rPr>
            <sz val="10"/>
            <rFont val="Arial"/>
            <family val="2"/>
          </rPr>
          <t xml:space="preserve">Ek-1/A Table 1, row 32: DKD sapma sınırı HD ± %25 or ± 0.2 mIU/L (whichever greater); IKK CV ≤ 10%.</t>
        </r>
      </text>
    </comment>
    <comment ref="T13" authorId="0">
      <text>
        <r>
          <rPr>
            <sz val="10"/>
            <rFont val="Arial"/>
            <family val="2"/>
          </rPr>
          <t xml:space="preserve">Ek-1/A Table 1, row 29: DKD sapma sınırı HD ± %25 or ± 5 µg/L (whichever greater); IKK CV ≤ 10%.</t>
        </r>
      </text>
    </comment>
    <comment ref="T14" authorId="0">
      <text>
        <r>
          <rPr>
            <sz val="10"/>
            <rFont val="Arial"/>
            <family val="2"/>
          </rPr>
          <t xml:space="preserve">Ek-1/A Table 1, row 33: DKD sapma sınırı HD ± %25 or ± 0.2 µg/L (whichever greater); IKK CV ≤ 10%.</t>
        </r>
      </text>
    </comment>
    <comment ref="T15" authorId="0">
      <text>
        <r>
          <rPr>
            <sz val="10"/>
            <rFont val="Arial"/>
            <family val="2"/>
          </rPr>
          <t xml:space="preserve">Ek-1/A Table 1, row 36: DKD sapma sınırı HD ± %25 or ± 5.0 µg/L (whichever greater); IKK CV ≤ 10%.</t>
        </r>
      </text>
    </comment>
    <comment ref="T16" authorId="0">
      <text>
        <r>
          <rPr>
            <sz val="10"/>
            <rFont val="Arial"/>
            <family val="2"/>
          </rPr>
          <t xml:space="preserve">Ek-1/A Table 1, row 19: DKD sapma sınırı HD ± %9 or ± 0.3 mmol/L (whichever greater); IKK CV ≤ 4%.</t>
        </r>
      </text>
    </comment>
    <comment ref="T18" authorId="0">
      <text>
        <r>
          <rPr>
            <sz val="10"/>
            <rFont val="Arial"/>
            <family val="2"/>
          </rPr>
          <t xml:space="preserve">Ek-1/A Table 1, row 25: DKD sapma sınırı HD ± %20 or ± 4.3 mg/dL (urea) (whichever greater); IKK CV ≤ 5%.</t>
        </r>
      </text>
    </comment>
    <comment ref="T19" authorId="0">
      <text>
        <r>
          <rPr>
            <sz val="10"/>
            <rFont val="Arial"/>
            <family val="2"/>
          </rPr>
          <t xml:space="preserve">Ek-1/A Table 1, row 26: DKD sapma sınırı HD ± %13 or ± 0.5 mg/dL (whichever greater); IKK CV ≤ 5%.</t>
        </r>
      </text>
    </comment>
    <comment ref="T20" authorId="0">
      <text>
        <r>
          <rPr>
            <sz val="10"/>
            <rFont val="Arial"/>
            <family val="2"/>
          </rPr>
          <t xml:space="preserve">Ek-1/A Table 1, row 8: DKD sapma sınırı HD ± %20 or ± 6 U/L (whichever greater); IKK CV ≤ 6%.</t>
        </r>
      </text>
    </comment>
    <comment ref="T21" authorId="0">
      <text>
        <r>
          <rPr>
            <sz val="10"/>
            <rFont val="Arial"/>
            <family val="2"/>
          </rPr>
          <t xml:space="preserve">Ek-1/A Table 1, row 7: DKD sapma sınırı HD ± %30; IKK CV ≤ 8%.</t>
        </r>
      </text>
    </comment>
    <comment ref="T22" authorId="0">
      <text>
        <r>
          <rPr>
            <sz val="10"/>
            <rFont val="Arial"/>
            <family val="2"/>
          </rPr>
          <t xml:space="preserve">Ek-1/A Table 1, row 11: DKD sapma sınırı HD ± %20 or ± 5 U/L (whichever greater); IKK CV ≤ 6%.</t>
        </r>
      </text>
    </comment>
    <comment ref="T24" authorId="0">
      <text>
        <r>
          <rPr>
            <sz val="10"/>
            <rFont val="Arial"/>
            <family val="2"/>
          </rPr>
          <t xml:space="preserve">Ek-1/A Table 1, row 15: DKD sapma sınırı HD ± %20; IKK CV ≤ 10%.</t>
        </r>
      </text>
    </comment>
    <comment ref="T27" authorId="0">
      <text>
        <r>
          <rPr>
            <sz val="10"/>
            <rFont val="Arial"/>
            <family val="2"/>
          </rPr>
          <t xml:space="preserve">Ek-1/A Table 1, row 21: DKD sapma sınırı HD ± %20 or ± 0.4 mg/dL (whichever greater); IKK CV ≤ 8%.</t>
        </r>
      </text>
    </comment>
    <comment ref="T28" authorId="0">
      <text>
        <r>
          <rPr>
            <sz val="10"/>
            <rFont val="Arial"/>
            <family val="2"/>
          </rPr>
          <t xml:space="preserve">Ek-1/A Table 1, row 5: DKD sapma sınırı HD ± %15; IKK CV ≤ 6%.</t>
        </r>
      </text>
    </comment>
    <comment ref="T29" authorId="0">
      <text>
        <r>
          <rPr>
            <sz val="10"/>
            <rFont val="Arial"/>
            <family val="2"/>
          </rPr>
          <t xml:space="preserve">Ek-1/A Table 1, row 23: DKD sapma sınırı HD ± %10; IKK CV ≤ 5%.</t>
        </r>
      </text>
    </comment>
    <comment ref="T30" authorId="0">
      <text>
        <r>
          <rPr>
            <sz val="10"/>
            <rFont val="Arial"/>
            <family val="2"/>
          </rPr>
          <t xml:space="preserve">Ek-1/A Table 1, row 10: DKD sapma sınırı HD ± %16 or ± 0.3 mg/dL (whichever greater); IKK CV ≤ 8%.</t>
        </r>
      </text>
    </comment>
    <comment ref="T31" authorId="0">
      <text>
        <r>
          <rPr>
            <sz val="10"/>
            <rFont val="Arial"/>
            <family val="2"/>
          </rPr>
          <t xml:space="preserve">Ek-1/A Table 1, row 18: DKD sapma sınırı HD ± %15; IKK CV ≤ 8%.</t>
        </r>
      </text>
    </comment>
    <comment ref="T32" authorId="0">
      <text>
        <r>
          <rPr>
            <sz val="10"/>
            <rFont val="Arial"/>
            <family val="2"/>
          </rPr>
          <t xml:space="preserve">Ek-1/A Table 1, row 9: DKD sapma sınırı HD ± %20; IKK CV ≤ 8%.</t>
        </r>
      </text>
    </comment>
    <comment ref="T33" authorId="0">
      <text>
        <r>
          <rPr>
            <sz val="10"/>
            <rFont val="Arial"/>
            <family val="2"/>
          </rPr>
          <t xml:space="preserve">Ek-1/A Table 1, row 22: DKD sapma sınırı HD ± %13; IKK CV ≤ 5%.</t>
        </r>
      </text>
    </comment>
    <comment ref="T34" authorId="0">
      <text>
        <r>
          <rPr>
            <sz val="10"/>
            <rFont val="Arial"/>
            <family val="2"/>
          </rPr>
          <t xml:space="preserve">Ek-1/A Table 1, row 13: DKD sapma sınırı HD ± %20 or ± 6 mg/dL (whichever greater); IKK CV ≤ 8%.</t>
        </r>
      </text>
    </comment>
    <comment ref="T35" authorId="0">
      <text>
        <r>
          <rPr>
            <sz val="10"/>
            <rFont val="Arial"/>
            <family val="2"/>
          </rPr>
          <t xml:space="preserve">Ek-1/A Table 1, row 17: DKD sapma sınırı HD ± %20; IKK CV ≤ 8%.</t>
        </r>
      </text>
    </comment>
    <comment ref="T36" authorId="0">
      <text>
        <r>
          <rPr>
            <sz val="10"/>
            <rFont val="Arial"/>
            <family val="2"/>
          </rPr>
          <t xml:space="preserve">Ek-1/A Table 1, row 24: DKD sapma sınırı HD ± %15; IKK CV ≤ 6%.</t>
        </r>
      </text>
    </comment>
    <comment ref="T53" authorId="0">
      <text>
        <r>
          <rPr>
            <sz val="10"/>
            <rFont val="Arial"/>
            <family val="2"/>
          </rPr>
          <t xml:space="preserve">Ek-1/A Table 1, row 31: DKD sapma sınırı HD ± %20 or ± 0.4 ng/dL (whichever greater); IKK CV ≤ 10%.</t>
        </r>
      </text>
    </comment>
    <comment ref="T57" authorId="0">
      <text>
        <r>
          <rPr>
            <sz val="10"/>
            <rFont val="Arial"/>
            <family val="2"/>
          </rPr>
          <t xml:space="preserve">Ek-1/A Table 1, row 35: DKD sapma sınırı HD ± %25 or ± 30 ng/L (whichever greater); IKK CV ≤ 10%.</t>
        </r>
      </text>
    </comment>
    <comment ref="T62" authorId="0">
      <text>
        <r>
          <rPr>
            <sz val="10"/>
            <rFont val="Arial"/>
            <family val="2"/>
          </rPr>
          <t xml:space="preserve">Ek-1/A Table 1, row 30: DKD sapma sınırı HD ± %30 or ± 3 U/L (whichever greater); IKK CV ≤ 10%.</t>
        </r>
      </text>
    </comment>
    <comment ref="W5" authorId="0">
      <text>
        <r>
          <rPr>
            <sz val="10"/>
            <rFont val="Arial"/>
            <family val="2"/>
          </rPr>
          <t xml:space="preserve">Within-subject CV (CVI) from the EFLM Biological Variation Database. Record the access date on the References sheet.</t>
        </r>
      </text>
    </comment>
  </commentList>
</comments>
</file>

<file path=xl/sharedStrings.xml><?xml version="1.0" encoding="utf-8"?>
<sst xmlns="http://schemas.openxmlformats.org/spreadsheetml/2006/main" count="4167" uniqueCount="409">
  <si>
    <t xml:space="preserve">Allowable total error sources — clinical chemistry and immunochemistry (cobas pro)</t>
  </si>
  <si>
    <t xml:space="preserve">What is already filled in</t>
  </si>
  <si>
    <t xml:space="preserve">All 63 analytes and 133 control levels from 1 May 2025 – 30 June 2026. The 10 manuscript-panel analytes come first, then the supplementary analytes. On the 'Sigma' sheet, CV, target and analyser offset (bias) are measured values: CV = pooled within-lot CV of the worst analyser; target = mean of the control lot in use at the end of the period; bias = largest analyser offset from that mean. These are the values the rule-design tool uses.</t>
  </si>
  <si>
    <t xml:space="preserve">Turkey MoH 2026 percentage limits are filled in for the analytes listed in its Table 1 (comparison source only).</t>
  </si>
  <si>
    <t xml:space="preserve">What you fill in</t>
  </si>
  <si>
    <t xml:space="preserve">1. 'TEa input': the YELLOW cells — percentage limits for Labquality, CLIA, Rili-BÄK, Noklus, RCPA, China WS/T 403, SEKK, Belgium, Ricos and any other source, and CVI / CVG from the EFLM Biological Variation Database. The EFLM optimal, desirable and minimum tiers are calculated.</t>
  </si>
  <si>
    <t xml:space="preserve">2. Absolute limits ('ref.' columns) are for reference only. They are defined around the EQA or proficiency-testing sample's target value and are not converted at the IQC concentration; only the % limit is used.</t>
  </si>
  <si>
    <t xml:space="preserve">3. 'References': version, full citation and access date of each source.</t>
  </si>
  <si>
    <t xml:space="preserve">4. 'For the tool': one TEa % per analyte and source, to enter in the tool's 'Allowable error sources' row.</t>
  </si>
  <si>
    <t xml:space="preserve">Source priority</t>
  </si>
  <si>
    <t xml:space="preserve">Biological variation (EFLM; Ricos as the older compilation) is the primary basis. Labquality, CLIA, Rili-BÄK, Noklus, RCPA, China WS/T 403-2024, SEKK Dmax, Belgium WIV-ISP and Turkey MoH 2026 are comparison sources: none binds this laboratory; they show how far the attainable sigma depends on the specification chosen.</t>
  </si>
  <si>
    <t xml:space="preserve">Colours</t>
  </si>
  <si>
    <t xml:space="preserve">Yellow fill = for you to fill in · Blue text = measured or fixed inputs · Black text = formulas · Green text = values pulled from another sheet</t>
  </si>
  <si>
    <t xml:space="preserve">Rili-BÄK: the % is Column 5 of Table B 1-2 a (permissible relative deviation in the EQA); Column 3 (IQC single-value / RMSD limit) is recorded in the reference column. RCPA: the % applies above the stated concentration and an absolute limit below it; only the % is used, and the note says when a control level lies below that concentration (there the % is stricter than RCPA's own limit).</t>
  </si>
  <si>
    <t xml:space="preserve">Sigma colours: red &lt; 3 · orange 3–4 · light green 4–6 · dark green ≥ 6 (as in the tool).</t>
  </si>
  <si>
    <t xml:space="preserve">Calculations (identical to the tool)</t>
  </si>
  <si>
    <t xml:space="preserve">Biological variation (Fraser 1997): TEa = 1.65 × kI × CVI + kB × √(CVI² + CVG²); kI/kB = 0.25/0.125 (optimal), 0.50/0.25 (desirable), 0.75/0.375 (minimum).</t>
  </si>
  <si>
    <t xml:space="preserve">Sigma = (TEa % − |bias %|) / CV %.</t>
  </si>
  <si>
    <t xml:space="preserve">Notes on particular analytes</t>
  </si>
  <si>
    <t xml:space="preserve">PTH: in routine use from September 2025. Vitamin B12 (total) to 19 March 2026, Active B12 from 21 February 2026. Rheumatoid factor not run after 15 June 2026. C-peptide L2: lot 301804 excluded after review (mixed control levels); the 2026 lot is used. Bilirubin and CRP L3: third control (Bili Ped, CRP L3).</t>
  </si>
  <si>
    <t xml:space="preserve">TEa input — fill the yellow cells</t>
  </si>
  <si>
    <t xml:space="preserve">Percentage limits as numbers (10 = 10%). 'ref.' columns are recorded for reference only and are not used. A source left empty is ignored.</t>
  </si>
  <si>
    <t xml:space="preserve">Analyte</t>
  </si>
  <si>
    <t xml:space="preserve">Group</t>
  </si>
  <si>
    <t xml:space="preserve">Section</t>
  </si>
  <si>
    <t xml:space="preserve">Unit</t>
  </si>
  <si>
    <t xml:space="preserve">Labquality</t>
  </si>
  <si>
    <t xml:space="preserve">CLIA</t>
  </si>
  <si>
    <t xml:space="preserve">Rili-BÄK</t>
  </si>
  <si>
    <t xml:space="preserve">Noklus</t>
  </si>
  <si>
    <t xml:space="preserve">RCPA</t>
  </si>
  <si>
    <t xml:space="preserve">China WS/T 403-2024</t>
  </si>
  <si>
    <t xml:space="preserve">SEKK Dmax</t>
  </si>
  <si>
    <t xml:space="preserve">Belgium WIV-ISP</t>
  </si>
  <si>
    <t xml:space="preserve">Turkey MoH 2026</t>
  </si>
  <si>
    <t xml:space="preserve">EFLM biological variation</t>
  </si>
  <si>
    <t xml:space="preserve">Ricos (BV)</t>
  </si>
  <si>
    <t xml:space="preserve">Other</t>
  </si>
  <si>
    <t xml:space="preserve">Note</t>
  </si>
  <si>
    <t xml:space="preserve">%</t>
  </si>
  <si>
    <t xml:space="preserve">Absolute (ref.)</t>
  </si>
  <si>
    <t xml:space="preserve">Goal type (ref.)</t>
  </si>
  <si>
    <t xml:space="preserve">DKD %</t>
  </si>
  <si>
    <t xml:space="preserve">DKD absolute as printed (ref.)</t>
  </si>
  <si>
    <t xml:space="preserve">IKK max CV % (ref.)</t>
  </si>
  <si>
    <t xml:space="preserve">CVI %</t>
  </si>
  <si>
    <t xml:space="preserve">CVG %</t>
  </si>
  <si>
    <t xml:space="preserve">Optimal %</t>
  </si>
  <si>
    <t xml:space="preserve">Desirable %</t>
  </si>
  <si>
    <t xml:space="preserve">Minimum %</t>
  </si>
  <si>
    <t xml:space="preserve">Source name</t>
  </si>
  <si>
    <t xml:space="preserve">Sodium</t>
  </si>
  <si>
    <t xml:space="preserve">Panel</t>
  </si>
  <si>
    <t xml:space="preserve">Clinical chemistry</t>
  </si>
  <si>
    <t xml:space="preserve">mmol/L</t>
  </si>
  <si>
    <t xml:space="preserve">±4 mmol/L (absolute only)</t>
  </si>
  <si>
    <t xml:space="preserve">EQA col. 5: ±5%</t>
  </si>
  <si>
    <t xml:space="preserve">±3 mmol/L ≤150 mmol/L</t>
  </si>
  <si>
    <t xml:space="preserve">State of the art</t>
  </si>
  <si>
    <t xml:space="preserve">EFLM 95% CI: CVI 0.0–4.3, CVG 0.4–9.7; RCPA: L1 (137) at or below the RCPA cut-off, where RCPA uses an absolute limit; the % is stricter there</t>
  </si>
  <si>
    <t xml:space="preserve">Creatinine</t>
  </si>
  <si>
    <t xml:space="preserve">µmol/L</t>
  </si>
  <si>
    <t xml:space="preserve">±0.2 mg/dL (greater)</t>
  </si>
  <si>
    <t xml:space="preserve">EQA col. 5: ±20%</t>
  </si>
  <si>
    <t xml:space="preserve">±8 µmol/L ≤100 µmol/L</t>
  </si>
  <si>
    <t xml:space="preserve">±6 µmol/L at the low end; threshold misprinted in source ("≤5 µmol/L … &gt;4 mmol/L")</t>
  </si>
  <si>
    <t xml:space="preserve">± 0.4 mg/dL</t>
  </si>
  <si>
    <t xml:space="preserve">RCPA: L1 (99.1) at or below the RCPA cut-off, where RCPA uses an absolute limit; the % is stricter there</t>
  </si>
  <si>
    <t xml:space="preserve">ALT</t>
  </si>
  <si>
    <t xml:space="preserve">U/L</t>
  </si>
  <si>
    <t xml:space="preserve">±6 U/L (greater)</t>
  </si>
  <si>
    <t xml:space="preserve">EQA col. 5: ±21%</t>
  </si>
  <si>
    <t xml:space="preserve">±5 U/L ≤40 U/L</t>
  </si>
  <si>
    <t xml:space="preserve">±6 U/L (≤40 U/L)</t>
  </si>
  <si>
    <t xml:space="preserve">± 6 U/L</t>
  </si>
  <si>
    <t xml:space="preserve">Glucose</t>
  </si>
  <si>
    <t xml:space="preserve">±6 mg/dL (greater)</t>
  </si>
  <si>
    <t xml:space="preserve">EQA col. 5: ±8%</t>
  </si>
  <si>
    <t xml:space="preserve">±0.4 mmol/L ≤5.0 mmol/L</t>
  </si>
  <si>
    <t xml:space="preserve">±0.21 mmol/L (≤3 mmol/L)</t>
  </si>
  <si>
    <t xml:space="preserve">± 6 mg/dL</t>
  </si>
  <si>
    <t xml:space="preserve">Calcium</t>
  </si>
  <si>
    <t xml:space="preserve">±1.0 mg/dL (absolute only)</t>
  </si>
  <si>
    <t xml:space="preserve">EQA col. 5: ±10%</t>
  </si>
  <si>
    <t xml:space="preserve">±0.10 mmol/L ≤2.50 mmol/L</t>
  </si>
  <si>
    <t xml:space="preserve">±0.1 mmol/L (≤2 mmol/L)</t>
  </si>
  <si>
    <t xml:space="preserve">± 1.0 mg/dL</t>
  </si>
  <si>
    <t xml:space="preserve">RCPA: L1 (2.24) at or below the RCPA cut-off, where RCPA uses an absolute limit; the % is stricter there</t>
  </si>
  <si>
    <t xml:space="preserve">TSH</t>
  </si>
  <si>
    <t xml:space="preserve">Immunochemistry</t>
  </si>
  <si>
    <t xml:space="preserve">mIU/L</t>
  </si>
  <si>
    <t xml:space="preserve">±0.2 mIU/L (greater)</t>
  </si>
  <si>
    <t xml:space="preserve">EQA col. 5: ±24%</t>
  </si>
  <si>
    <t xml:space="preserve">±0.1 mU/L ≤0.5 mU/L</t>
  </si>
  <si>
    <t xml:space="preserve">±0.1 mIU/L (≤0.5 mIU/L)</t>
  </si>
  <si>
    <t xml:space="preserve">± 0.2 mIU/L</t>
  </si>
  <si>
    <t xml:space="preserve">hs-Troponin T</t>
  </si>
  <si>
    <t xml:space="preserve">ng/L</t>
  </si>
  <si>
    <t xml:space="preserve">±0.2 ng/mL = 200 ng/L (greater)</t>
  </si>
  <si>
    <t xml:space="preserve">EQA col. 5: ±33%</t>
  </si>
  <si>
    <t xml:space="preserve">±10 ng/L ≤50 ng/L</t>
  </si>
  <si>
    <t xml:space="preserve">RCPA: L1 (18.8) at or below the RCPA cut-off, where RCPA uses an absolute limit; the % is stricter there</t>
  </si>
  <si>
    <t xml:space="preserve">Ferritin</t>
  </si>
  <si>
    <t xml:space="preserve">µg/L</t>
  </si>
  <si>
    <t xml:space="preserve">EQA col. 5: ±25%</t>
  </si>
  <si>
    <t xml:space="preserve">±4 µg/L ≤27 µg/L</t>
  </si>
  <si>
    <t xml:space="preserve">±6 µg/L (≤24 µg/L)</t>
  </si>
  <si>
    <t xml:space="preserve">± 5 µg/L</t>
  </si>
  <si>
    <t xml:space="preserve">EFLM: CVI 12.9%, CVG not available — BV TEa not computed</t>
  </si>
  <si>
    <t xml:space="preserve">PSA</t>
  </si>
  <si>
    <t xml:space="preserve">±0.2 ng/mL (greater)</t>
  </si>
  <si>
    <t xml:space="preserve">±0.4 µg/L ≤5.0 µg/L</t>
  </si>
  <si>
    <t xml:space="preserve">±0.75 µg/L (≤3 µg/L)</t>
  </si>
  <si>
    <t xml:space="preserve">± 0.2 µg/L</t>
  </si>
  <si>
    <t xml:space="preserve">RCPA: L1 (4.05) at or below the RCPA cut-off, where RCPA uses an absolute limit; the % is stricter there</t>
  </si>
  <si>
    <t xml:space="preserve">25-OH vitamin D</t>
  </si>
  <si>
    <t xml:space="preserve">nmol/L</t>
  </si>
  <si>
    <t xml:space="preserve">no EQA limit (col. 5)</t>
  </si>
  <si>
    <t xml:space="preserve">±9 nmol/L ≤60 nmol/L</t>
  </si>
  <si>
    <t xml:space="preserve">± 5.0 µg/L</t>
  </si>
  <si>
    <t xml:space="preserve">RfB</t>
  </si>
  <si>
    <t xml:space="preserve">Potassium</t>
  </si>
  <si>
    <t xml:space="preserve">Supplementary</t>
  </si>
  <si>
    <t xml:space="preserve">±0.3 mmol/L (absolute only)</t>
  </si>
  <si>
    <t xml:space="preserve">±0.2 mmol/L ≤4.0 mmol/L</t>
  </si>
  <si>
    <t xml:space="preserve">±0.2 mmol/L (≤3.3 mmol/L)</t>
  </si>
  <si>
    <t xml:space="preserve">Biological variability</t>
  </si>
  <si>
    <t xml:space="preserve">± 0.3 mmol/L</t>
  </si>
  <si>
    <t xml:space="preserve">RCPA: L1 (3.98) at or below the RCPA cut-off, where RCPA uses an absolute limit; the % is stricter there</t>
  </si>
  <si>
    <t xml:space="preserve">Chloride</t>
  </si>
  <si>
    <t xml:space="preserve">±3 mmol/L ≤100 mmol/L</t>
  </si>
  <si>
    <t xml:space="preserve">RCPA: L1 (97.6) at or below the RCPA cut-off, where RCPA uses an absolute limit; the % is stricter there</t>
  </si>
  <si>
    <t xml:space="preserve">Urea</t>
  </si>
  <si>
    <t xml:space="preserve">±2 mg/dL urea N (greater)</t>
  </si>
  <si>
    <t xml:space="preserve">±0.5 mmol/L ≤4.0 mmol/L</t>
  </si>
  <si>
    <t xml:space="preserve">±0.32 mmol/L (≤4 mmol/L)</t>
  </si>
  <si>
    <t xml:space="preserve">± 4.3 mg/dL (urea)</t>
  </si>
  <si>
    <t xml:space="preserve">Urate</t>
  </si>
  <si>
    <t xml:space="preserve">EQA col. 5: ±13%</t>
  </si>
  <si>
    <t xml:space="preserve">±0.030 mmol/L ≤0.380 mmol/L</t>
  </si>
  <si>
    <t xml:space="preserve">± 0.5 mg/dL</t>
  </si>
  <si>
    <t xml:space="preserve">RCPA: L1 (289) at or below the RCPA cut-off, where RCPA uses an absolute limit; the % is stricter there</t>
  </si>
  <si>
    <t xml:space="preserve">AST</t>
  </si>
  <si>
    <t xml:space="preserve">ALP</t>
  </si>
  <si>
    <t xml:space="preserve">EQA col. 5: ±18%</t>
  </si>
  <si>
    <t xml:space="preserve">±15 U/L ≤125 U/L</t>
  </si>
  <si>
    <t xml:space="preserve">±9 U/L (≤60 U/L)</t>
  </si>
  <si>
    <t xml:space="preserve">RCPA: L1 (90) at or below the RCPA cut-off, where RCPA uses an absolute limit; the % is stricter there</t>
  </si>
  <si>
    <t xml:space="preserve">GGT</t>
  </si>
  <si>
    <t xml:space="preserve">±5 U/L (greater)</t>
  </si>
  <si>
    <t xml:space="preserve">±4.4 U/L (≤40 U/L)</t>
  </si>
  <si>
    <t xml:space="preserve">± 5 U/L</t>
  </si>
  <si>
    <t xml:space="preserve">LD</t>
  </si>
  <si>
    <t xml:space="preserve">±20 U/L ≤250 U/L</t>
  </si>
  <si>
    <t xml:space="preserve">RCPA: L1 (187) at or below the RCPA cut-off, where RCPA uses an absolute limit; the % is stricter there</t>
  </si>
  <si>
    <t xml:space="preserve">CK</t>
  </si>
  <si>
    <t xml:space="preserve">RCPA: L1 (101) at or below the RCPA cut-off, where RCPA uses an absolute limit; the % is stricter there</t>
  </si>
  <si>
    <t xml:space="preserve">Amylase</t>
  </si>
  <si>
    <t xml:space="preserve">±10 U/L ≤100 U/L</t>
  </si>
  <si>
    <t xml:space="preserve">±9 U/L (≤50 U/L)</t>
  </si>
  <si>
    <t xml:space="preserve">Lipase</t>
  </si>
  <si>
    <t xml:space="preserve">±12 U/L ≤60 U/L</t>
  </si>
  <si>
    <t xml:space="preserve">RCPA: L1 (52.6) at or below the RCPA cut-off, where RCPA uses an absolute limit; the % is stricter there</t>
  </si>
  <si>
    <t xml:space="preserve">Bilirubin</t>
  </si>
  <si>
    <t xml:space="preserve">±0.4 mg/dL (greater)</t>
  </si>
  <si>
    <t xml:space="preserve">EQA col. 5: ±22%</t>
  </si>
  <si>
    <t xml:space="preserve">±3 µmol/L ≤25 µmol/L</t>
  </si>
  <si>
    <t xml:space="preserve">±12.4 µmol/L (≤16 µmol/L)</t>
  </si>
  <si>
    <t xml:space="preserve">RCPA: L1 (17) at or below the RCPA cut-off, where RCPA uses an absolute limit; the % is stricter there; Rili-BÄK col. 3: 13% applies &gt;34 µmol/L (L2, L3); 22% at ≤34 µmol/L (L1 ≈ 17)</t>
  </si>
  <si>
    <t xml:space="preserve">Albumin</t>
  </si>
  <si>
    <t xml:space="preserve">g/L</t>
  </si>
  <si>
    <t xml:space="preserve">±2 g/L ≤33 g/L</t>
  </si>
  <si>
    <t xml:space="preserve">RCPA: L1 (31.5) at or below the RCPA cut-off, where RCPA uses an absolute limit; the % is stricter there</t>
  </si>
  <si>
    <t xml:space="preserve">Total protein</t>
  </si>
  <si>
    <t xml:space="preserve">±3 g/L ≤60 g/L</t>
  </si>
  <si>
    <t xml:space="preserve">RCPA: L1 (51.7) at or below the RCPA cut-off, where RCPA uses an absolute limit; the % is stricter there</t>
  </si>
  <si>
    <t xml:space="preserve">Phosphate</t>
  </si>
  <si>
    <t xml:space="preserve">±0.3 mg/dL (greater)</t>
  </si>
  <si>
    <t xml:space="preserve">EQA col. 5: ±16%</t>
  </si>
  <si>
    <t xml:space="preserve">±0.06 mmol/L ≤0.75 mmol/L</t>
  </si>
  <si>
    <t xml:space="preserve">± 0.3 mg/dL</t>
  </si>
  <si>
    <t xml:space="preserve">Magnesium</t>
  </si>
  <si>
    <t xml:space="preserve">EQA col. 5: ±15%</t>
  </si>
  <si>
    <t xml:space="preserve">±0.10 mmol/L ≤1.25 mmol/L</t>
  </si>
  <si>
    <t xml:space="preserve">±0.12 mmol/L (≤0.8 mmol/L)</t>
  </si>
  <si>
    <t xml:space="preserve">RCPA: L1 (0.797) at or below the RCPA cut-off, where RCPA uses an absolute limit; the % is stricter there; China: L1 (0.797) at or below the cut-off (absolute limit there; % stricter)</t>
  </si>
  <si>
    <t xml:space="preserve">CRP</t>
  </si>
  <si>
    <t xml:space="preserve">mg/L</t>
  </si>
  <si>
    <t xml:space="preserve">±1 mg/L (greater); hs-CRP</t>
  </si>
  <si>
    <t xml:space="preserve">±0.8 mg/L ≤4.0 mg/L</t>
  </si>
  <si>
    <t xml:space="preserve">Cholesterol</t>
  </si>
  <si>
    <t xml:space="preserve">±0.30 mmol/L ≤5.00 mmol/L</t>
  </si>
  <si>
    <t xml:space="preserve">RCPA: L1 (3.35) at or below the RCPA cut-off, where RCPA uses an absolute limit; the % is stricter there</t>
  </si>
  <si>
    <t xml:space="preserve">HDL cholesterol</t>
  </si>
  <si>
    <t xml:space="preserve">±0.10 mmol/L ≤0.80 mmol/L</t>
  </si>
  <si>
    <t xml:space="preserve">±0.16 mmol/L (≤0.8 mmol/L)</t>
  </si>
  <si>
    <t xml:space="preserve">LDL cholesterol</t>
  </si>
  <si>
    <t xml:space="preserve">(direct)</t>
  </si>
  <si>
    <t xml:space="preserve">±0.20 mmol/L ≤2.00 mmol/L</t>
  </si>
  <si>
    <t xml:space="preserve">±0.4 mmol/L (≤2 mmol/L)</t>
  </si>
  <si>
    <t xml:space="preserve">RCPA: L1 (1.85) at or below the RCPA cut-off, where RCPA uses an absolute limit; the % is stricter there; China: L1 (1.85) at or below the cut-off (absolute limit there; % stricter)</t>
  </si>
  <si>
    <t xml:space="preserve">Triglycerides</t>
  </si>
  <si>
    <t xml:space="preserve">±0.20 mmol/L ≤1.60 mmol/L</t>
  </si>
  <si>
    <t xml:space="preserve">RCPA: L1 (0.939) at or below the RCPA cut-off, where RCPA uses an absolute limit; the % is stricter there</t>
  </si>
  <si>
    <t xml:space="preserve">Iron</t>
  </si>
  <si>
    <t xml:space="preserve">±2.1 µmol/L (≤14 µmol/L)</t>
  </si>
  <si>
    <t xml:space="preserve">RCPA: L1 (13.4) at or below the RCPA cut-off, where RCPA uses an absolute limit; the % is stricter there; China: L1 (13.4) at or below the cut-off (absolute limit there; % stricter)</t>
  </si>
  <si>
    <t xml:space="preserve">Transferrin</t>
  </si>
  <si>
    <t xml:space="preserve">EQA col. 5: ±12%</t>
  </si>
  <si>
    <t xml:space="preserve">±0.20 g/L ≤2.50 g/L</t>
  </si>
  <si>
    <t xml:space="preserve">RCPA: L1 (2.13) at or below the RCPA cut-off, where RCPA uses an absolute limit; the % is stricter there</t>
  </si>
  <si>
    <t xml:space="preserve">IgA</t>
  </si>
  <si>
    <t xml:space="preserve">IgG</t>
  </si>
  <si>
    <t xml:space="preserve">IgM</t>
  </si>
  <si>
    <t xml:space="preserve">EQA col. 5: ±26%</t>
  </si>
  <si>
    <t xml:space="preserve">Rheumatoid factor</t>
  </si>
  <si>
    <t xml:space="preserve">IU/mL</t>
  </si>
  <si>
    <t xml:space="preserve">Bicarbonate</t>
  </si>
  <si>
    <t xml:space="preserve">(carbon dioxide)</t>
  </si>
  <si>
    <t xml:space="preserve">±2 mmol/L ≤20 mmol/L</t>
  </si>
  <si>
    <t xml:space="preserve">Ammonia</t>
  </si>
  <si>
    <t xml:space="preserve">±5 µmol/L ≤50 µmol/L</t>
  </si>
  <si>
    <t xml:space="preserve">Ethanol</t>
  </si>
  <si>
    <t xml:space="preserve">(blood alcohol)</t>
  </si>
  <si>
    <t xml:space="preserve">21% at ≤0.6 g/L (L1 ≈ 0.52 g/L); RCPA: L1 (11.2) at or below the RCPA cut-off, where RCPA uses an absolute limit; the % is stricter there; Rili-BÄK col. 3: 9% applies &gt;0.6 g/L (L2); 15% at ≤0.6 g/L (L1 ≈ 0.52 g/L)</t>
  </si>
  <si>
    <t xml:space="preserve">Homocysteine</t>
  </si>
  <si>
    <t xml:space="preserve">±1.5 µmol/L ≤15 µmol/L</t>
  </si>
  <si>
    <t xml:space="preserve">RCPA: L1 (12.7) at or below the RCPA cut-off, where RCPA uses an absolute limit; the % is stricter there</t>
  </si>
  <si>
    <t xml:space="preserve">Lithium</t>
  </si>
  <si>
    <t xml:space="preserve">±0.3 mmol/L (greater)</t>
  </si>
  <si>
    <t xml:space="preserve">±0.20 mmol/L ≤2.0 mmol/L</t>
  </si>
  <si>
    <t xml:space="preserve">RCPA: L1 (0.552), L2 (1.59) at or below the RCPA cut-off, where RCPA uses an absolute limit; the % is stricter there</t>
  </si>
  <si>
    <t xml:space="preserve">Gentamicin</t>
  </si>
  <si>
    <t xml:space="preserve">±0.2 mg/L ≤2.0 mg/L</t>
  </si>
  <si>
    <t xml:space="preserve">RCPA: L1 (1.79) at or below the RCPA cut-off, where RCPA uses an absolute limit; the % is stricter there</t>
  </si>
  <si>
    <t xml:space="preserve">Vancomycin</t>
  </si>
  <si>
    <t xml:space="preserve">±2 µg/mL (greater)</t>
  </si>
  <si>
    <t xml:space="preserve">±2.0 mg/L ≤20.3 mg/L</t>
  </si>
  <si>
    <t xml:space="preserve">RCPA: L1 (7.02) at or below the RCPA cut-off, where RCPA uses an absolute limit; the % is stricter there</t>
  </si>
  <si>
    <t xml:space="preserve">Valproate</t>
  </si>
  <si>
    <t xml:space="preserve">±4 mg/L ≤36 mg/L</t>
  </si>
  <si>
    <t xml:space="preserve">RCPA: L1 (234) at or below the RCPA cut-off, where RCPA uses an absolute limit; the % is stricter there</t>
  </si>
  <si>
    <t xml:space="preserve">Carbamazepine</t>
  </si>
  <si>
    <t xml:space="preserve">±1.0 µg/mL (greater)</t>
  </si>
  <si>
    <t xml:space="preserve">±0.5 mg/L ≤4.7 mg/L</t>
  </si>
  <si>
    <t xml:space="preserve">RCPA: L1 (14.3) at or below the RCPA cut-off, where RCPA uses an absolute limit; the % is stricter there</t>
  </si>
  <si>
    <t xml:space="preserve">Paracetamol</t>
  </si>
  <si>
    <t xml:space="preserve">±3 µg/mL (greater)</t>
  </si>
  <si>
    <t xml:space="preserve">±3 mg/L ≤30 mg/L</t>
  </si>
  <si>
    <t xml:space="preserve">RCPA: L1 (97.1) at or below the RCPA cut-off, where RCPA uses an absolute limit; the % is stricter there</t>
  </si>
  <si>
    <t xml:space="preserve">Free T4</t>
  </si>
  <si>
    <t xml:space="preserve">pmol/L</t>
  </si>
  <si>
    <t xml:space="preserve">±0.3 ng/dL (greater)</t>
  </si>
  <si>
    <t xml:space="preserve">±1.5 pmol/L ≤12 pmol/L</t>
  </si>
  <si>
    <t xml:space="preserve">±2.4 pmol/L (≤12 pmol/L)</t>
  </si>
  <si>
    <t xml:space="preserve">± 0.4 ng/dL</t>
  </si>
  <si>
    <t xml:space="preserve">Free T3</t>
  </si>
  <si>
    <t xml:space="preserve">±0.7 pmol/L ≤3.5 pmol/L</t>
  </si>
  <si>
    <t xml:space="preserve">±0.7 pmol/L (≤3.5 pmol/L)</t>
  </si>
  <si>
    <t xml:space="preserve">NT-proBNP</t>
  </si>
  <si>
    <t xml:space="preserve">±25 ng/L ≤125 ng/L</t>
  </si>
  <si>
    <t xml:space="preserve">PTH</t>
  </si>
  <si>
    <t xml:space="preserve">±1.0 pmol/L ≤8.0 pmol/L</t>
  </si>
  <si>
    <t xml:space="preserve">±3 pmol/L (≤10 pmol/L)</t>
  </si>
  <si>
    <t xml:space="preserve">RCPA: L1 (1.64) at or below the RCPA cut-off, where RCPA uses an absolute limit; the % is stricter there; China: L1 (1.64), L2 (8.35) at or below the cut-off (absolute limit there; % stricter)</t>
  </si>
  <si>
    <t xml:space="preserve">Vitamin B12 (total)</t>
  </si>
  <si>
    <t xml:space="preserve">±30 pg/mL (greater)</t>
  </si>
  <si>
    <t xml:space="preserve">±18 pmol/L ≤120 pmol/L</t>
  </si>
  <si>
    <t xml:space="preserve">± 30 ng/L</t>
  </si>
  <si>
    <t xml:space="preserve">Active B12</t>
  </si>
  <si>
    <t xml:space="preserve">Folate</t>
  </si>
  <si>
    <t xml:space="preserve">±1 ng/mL (greater)</t>
  </si>
  <si>
    <t xml:space="preserve">±1.5 nmol/L ≤6.0 nmol/L</t>
  </si>
  <si>
    <t xml:space="preserve">±2.4 nmol/L (≤8 nmol/L)</t>
  </si>
  <si>
    <t xml:space="preserve">RCPA: L1 (4.74) at or below the RCPA cut-off, where RCPA uses an absolute limit; the % is stricter there; China: L1 (4.74) at or below the cut-off (absolute limit there; % stricter)</t>
  </si>
  <si>
    <t xml:space="preserve">Procalcitonin</t>
  </si>
  <si>
    <t xml:space="preserve">Cortisol</t>
  </si>
  <si>
    <t xml:space="preserve">EQA col. 5: ±30%</t>
  </si>
  <si>
    <t xml:space="preserve">±15 nmol/L ≤100 nmol/L</t>
  </si>
  <si>
    <t xml:space="preserve">±20 nmol/L (≤100 nmol/L)</t>
  </si>
  <si>
    <t xml:space="preserve">Rili-BÄK col. 3: 16% applies &gt;166 nmol/L (both levels)</t>
  </si>
  <si>
    <t xml:space="preserve">hCG</t>
  </si>
  <si>
    <t xml:space="preserve">IU/L</t>
  </si>
  <si>
    <t xml:space="preserve">±3 mIU/mL (greater)</t>
  </si>
  <si>
    <t xml:space="preserve">±1 IU/L ≤10 IU/L</t>
  </si>
  <si>
    <t xml:space="preserve">± 3 U/L</t>
  </si>
  <si>
    <t xml:space="preserve">RCPA: L1 (3.71) at or below the RCPA cut-off, where RCPA uses an absolute limit; the % is stricter there; Rili-BÄK col. 3: 14% applies &gt;100 IU/L (L2); 17% at ≤100 IU/L (L1 ≈ 3.7)</t>
  </si>
  <si>
    <t xml:space="preserve">C-peptide</t>
  </si>
  <si>
    <t xml:space="preserve">±0.15 nmol/L ≤1.25 nmol/L</t>
  </si>
  <si>
    <t xml:space="preserve">±0.25 nmol/L (≤1.25 nmol/L)</t>
  </si>
  <si>
    <t xml:space="preserve">RCPA: L1 (0.437), L2 (0.695) at or below the RCPA cut-off, where RCPA uses an absolute limit; the % is stricter there; China: L1 (0.437), L2 (0.695) at or below the cut-off (absolute limit there; % stricter)</t>
  </si>
  <si>
    <t xml:space="preserve">CEA</t>
  </si>
  <si>
    <t xml:space="preserve">±1 ng/dL as printed (greater)</t>
  </si>
  <si>
    <t xml:space="preserve">±0.6 µg/L ≤5.0 µg/L</t>
  </si>
  <si>
    <t xml:space="preserve">±1.5 µg/L (≤6 µg/L)</t>
  </si>
  <si>
    <t xml:space="preserve">RCPA: L1 (3.15) at or below the RCPA cut-off, where RCPA uses an absolute limit; the % is stricter there; China: L1 (3.15) at or below the cut-off (absolute limit there; % stricter)</t>
  </si>
  <si>
    <t xml:space="preserve">CA 125</t>
  </si>
  <si>
    <t xml:space="preserve">kU/L</t>
  </si>
  <si>
    <t xml:space="preserve">±6 kU/L ≤50 kU/L</t>
  </si>
  <si>
    <t xml:space="preserve">±10 kIU/L (≤40 kIU/L)</t>
  </si>
  <si>
    <t xml:space="preserve">RCPA: L1 (29.7), L2 (46.3) at or below the RCPA cut-off, where RCPA uses an absolute limit; the % is stricter there; China: L1 (29.7) at or below the cut-off (absolute limit there; % stricter)</t>
  </si>
  <si>
    <t xml:space="preserve">Anti-TPO</t>
  </si>
  <si>
    <t xml:space="preserve">kIU/L</t>
  </si>
  <si>
    <t xml:space="preserve">Anti-CCP</t>
  </si>
  <si>
    <t xml:space="preserve">U/mL</t>
  </si>
  <si>
    <t xml:space="preserve">Digoxin</t>
  </si>
  <si>
    <t xml:space="preserve">±0.2 µg/L ≤1.6 µg/L</t>
  </si>
  <si>
    <t xml:space="preserve">RCPA: L1 (1.14) at or below the RCPA cut-off, where RCPA uses an absolute limit; the % is stricter there</t>
  </si>
  <si>
    <t xml:space="preserve">Effective TEa and sigma — per control level</t>
  </si>
  <si>
    <t xml:space="preserve">CV, target and bias are measured (1 May 2025 – 30 June 2026). Effective TEa = the % limit of each source. Sigma = (TEa − |bias|) / CV.</t>
  </si>
  <si>
    <t xml:space="preserve">Level</t>
  </si>
  <si>
    <t xml:space="preserve">Control</t>
  </si>
  <si>
    <t xml:space="preserve">Target (current lot mean)</t>
  </si>
  <si>
    <t xml:space="preserve">CV % (worst analyser)</t>
  </si>
  <si>
    <t xml:space="preserve">Bias % (largest analyser offset)</t>
  </si>
  <si>
    <t xml:space="preserve">n</t>
  </si>
  <si>
    <t xml:space="preserve">Worst analyser</t>
  </si>
  <si>
    <t xml:space="preserve">Row</t>
  </si>
  <si>
    <t xml:space="preserve">Effective TEa %</t>
  </si>
  <si>
    <t xml:space="preserve">Sigma</t>
  </si>
  <si>
    <t xml:space="preserve">BV EFLM (optimal)</t>
  </si>
  <si>
    <t xml:space="preserve">BV EFLM (desirable)</t>
  </si>
  <si>
    <t xml:space="preserve">BV EFLM (minimum)</t>
  </si>
  <si>
    <t xml:space="preserve">BV Ricos (optimal)</t>
  </si>
  <si>
    <t xml:space="preserve">BV Ricos (desirable)</t>
  </si>
  <si>
    <t xml:space="preserve">BV Ricos (minimum)</t>
  </si>
  <si>
    <t xml:space="preserve">L1</t>
  </si>
  <si>
    <t xml:space="preserve">ClinChem 2</t>
  </si>
  <si>
    <t xml:space="preserve">NISE-2.2</t>
  </si>
  <si>
    <t xml:space="preserve">L2</t>
  </si>
  <si>
    <t xml:space="preserve">ClinChem 3</t>
  </si>
  <si>
    <t xml:space="preserve">c703-1.1</t>
  </si>
  <si>
    <t xml:space="preserve">c703-1.2</t>
  </si>
  <si>
    <t xml:space="preserve">c703-2.1</t>
  </si>
  <si>
    <t xml:space="preserve">IMMUN L1</t>
  </si>
  <si>
    <t xml:space="preserve">e801-2.1</t>
  </si>
  <si>
    <t xml:space="preserve">IMMUN L2</t>
  </si>
  <si>
    <t xml:space="preserve">e801-1.1</t>
  </si>
  <si>
    <t xml:space="preserve">e801-1.2</t>
  </si>
  <si>
    <t xml:space="preserve">NISE-2.1</t>
  </si>
  <si>
    <t xml:space="preserve">c703-2.2</t>
  </si>
  <si>
    <t xml:space="preserve">L3</t>
  </si>
  <si>
    <t xml:space="preserve">BILI PED</t>
  </si>
  <si>
    <t xml:space="preserve">CRP L3</t>
  </si>
  <si>
    <t xml:space="preserve">RF 1</t>
  </si>
  <si>
    <t xml:space="preserve">RF 2</t>
  </si>
  <si>
    <t xml:space="preserve">AEC-N</t>
  </si>
  <si>
    <t xml:space="preserve">AEC-A</t>
  </si>
  <si>
    <t xml:space="preserve">HCY 1</t>
  </si>
  <si>
    <t xml:space="preserve">HCY 2</t>
  </si>
  <si>
    <t xml:space="preserve">TDM 1</t>
  </si>
  <si>
    <t xml:space="preserve">TDM 2</t>
  </si>
  <si>
    <t xml:space="preserve">TDM 3</t>
  </si>
  <si>
    <t xml:space="preserve">PC AcB12 1</t>
  </si>
  <si>
    <t xml:space="preserve">PC AcB12 2</t>
  </si>
  <si>
    <t xml:space="preserve">PCT 1</t>
  </si>
  <si>
    <t xml:space="preserve">PCT 2</t>
  </si>
  <si>
    <t xml:space="preserve">ACCP1</t>
  </si>
  <si>
    <t xml:space="preserve">ACCP2</t>
  </si>
  <si>
    <t xml:space="preserve">TEa to enter in the tool — analyte × source</t>
  </si>
  <si>
    <t xml:space="preserve">One TEa % per analyte and source. 'Lowest sigma' is the weakest control level for that source; filter to hide empty sources.</t>
  </si>
  <si>
    <t xml:space="preserve">Source (name in the tool)</t>
  </si>
  <si>
    <t xml:space="preserve">TEa %</t>
  </si>
  <si>
    <t xml:space="preserve">Lowest sigma across levels</t>
  </si>
  <si>
    <t xml:space="preserve">Traceability of sources — the manuscript must state the source and version of every TEa</t>
  </si>
  <si>
    <t xml:space="preserve">Source</t>
  </si>
  <si>
    <t xml:space="preserve">Version / year</t>
  </si>
  <si>
    <t xml:space="preserve">Citation (full reference)</t>
  </si>
  <si>
    <t xml:space="preserve">URL</t>
  </si>
  <si>
    <t xml:space="preserve">Access date</t>
  </si>
  <si>
    <t xml:space="preserve">2026</t>
  </si>
  <si>
    <t xml:space="preserve">Labquality Oy. EQA programme evaluation limits (clinical chemistry).</t>
  </si>
  <si>
    <t xml:space="preserve">2025 (in force 11 Jul 2024; PT providers from 1 Jan 2025)</t>
  </si>
  <si>
    <t xml:space="preserve">Centers for Medicare &amp; Medicaid Services. Clinical Laboratory Improvement Amendments of 1988 (CLIA) Proficiency Testing Regulations Related to Analytes and Acceptable Performance. Final rule, Fed Regist 2022;87:41194–242 (42 CFR 493). Table as compiled by Westgard QC, "2025 CLIA Acceptance Limits for Proficiency Testing".</t>
  </si>
  <si>
    <t xml:space="preserve">https://www.westgard.com/clia-and-quality-regulation-requirements/quality-requirements/2024-clia-requirements.html</t>
  </si>
  <si>
    <t xml:space="preserve">% limit only; "or ± absolute (greater)" recorded, not converted. Sodium, potassium, calcium have absolute limits only (no %). 25-OH vitamin D, free T3, active B12, anti-TPO, anti-CCP, PCT, C-peptide, homocysteine, ammonia not listed.</t>
  </si>
  <si>
    <t xml:space="preserve">2023 (English 2024)</t>
  </si>
  <si>
    <t xml:space="preserve">Ahmad-Nejad P, et al. Revision of the "Guideline of the German Medical Association on Quality Assurance in Medical Laboratory Examinations – Rili-BAEK". J Lab Med 2024. doi:10.1515/labmed-2024-0131. German original: Dtsch Arztebl 2023, doi:10.3238/arztebl.2023.rili_baek_QS_Labor.</t>
  </si>
  <si>
    <t xml:space="preserve">https://doi.org/10.1515/labmed-2024-0131</t>
  </si>
  <si>
    <t xml:space="preserve">Table B 1-2 a. % used = Column 3 (permissible relative deviation of the single control measurement / relative RMSD — the IQC limit), as in the haematology and coagulation studies. Column 5 (EQA) recorded for reference. Where Column 3 is banded by concentration, the band covering most control levels is used and the Note says which.</t>
  </si>
  <si>
    <t xml:space="preserve">Noklus. EQA quality specification for troponin T.</t>
  </si>
  <si>
    <t xml:space="preserve">Used for hs-troponin T (15%).</t>
  </si>
  <si>
    <t xml:space="preserve">December 2022</t>
  </si>
  <si>
    <t xml:space="preserve">RCPAQAP. Chemical Pathology Analytical Performance Specifications. Royal College of Pathologists of Australasia Quality Assurance Programs; December 2022.</t>
  </si>
  <si>
    <t xml:space="preserve">% applies above the stated concentration; below it RCPA uses an absolute limit (recorded, not converted).</t>
  </si>
  <si>
    <t xml:space="preserve">2024</t>
  </si>
  <si>
    <t xml:space="preserve">National Health Commission of the PRC. WS/T 403-2024 Analytical quality specifications for routine analytes in clinical biochemistry. Values as compiled by Westgard QC, "Consolidated comparison of chemistry performance specifications" (updated 21 Apr 2025; accessed 18 Oct 2026). Immunoassays from the companion page "Consolidated comparison of immunoassay performance specifications".</t>
  </si>
  <si>
    <t xml:space="preserve">https://www.westgard.com/clia-and-quality-regulation-requirements/quality-requirements/consolidated-comparison-of-chemistry-performance-specifications.html</t>
  </si>
  <si>
    <t xml:space="preserve">% used above the stated concentration; absolute limit below it recorded, not converted. Bicarbonate row in the source is blood-gas pCO2 (mmHg) and is not used. CRP, lipase, hs-troponin T, hCG, B12, 25-OH vitamin D, NT-proBNP, PCT and therapeutic drugs not listed.</t>
  </si>
  <si>
    <t xml:space="preserve">2015</t>
  </si>
  <si>
    <t xml:space="preserve">SEKK (Czech EQA programme) Dmax analytical performance specifications, as compiled by Westgard QC, "A selection of SEKK-Dmax specifications". Dmax = 2.5 × long-term (2-year) EQA reproducibility CV.</t>
  </si>
  <si>
    <t xml:space="preserve">https://www.westgard.com/clia-and-quality-regulation-requirements/quality-requirements/sekk-dmax.html</t>
  </si>
  <si>
    <t xml:space="preserve">Serum values only; selection, not the full SEKK list.</t>
  </si>
  <si>
    <t xml:space="preserve">2016</t>
  </si>
  <si>
    <t xml:space="preserve">WIV-ISP / Sciensano (Belgium). EQA analytical performance specifications, clinical chemistry, as compiled by Westgard QC, "Belgium EQA performance specifications" (updated for 2016).</t>
  </si>
  <si>
    <t xml:space="preserve">https://www.westgard.com/clia-and-quality-regulation-requirements/quality-requirements/belgium-eqa-goals.html</t>
  </si>
  <si>
    <t xml:space="preserve">Goal type per analyte (state of the art / biological variability) in the TEa input sheet.</t>
  </si>
  <si>
    <t xml:space="preserve">EFLM Biological Variation Database</t>
  </si>
  <si>
    <t xml:space="preserve">Aarsand AK, et al. EFLM Biological Variation Database.</t>
  </si>
  <si>
    <t xml:space="preserve">https://biologicalvariation.eu</t>
  </si>
  <si>
    <t xml:space="preserve">CVI/CVG point estimates; 95% CIs in the Note column where given.</t>
  </si>
  <si>
    <t xml:space="preserve">2014</t>
  </si>
  <si>
    <t xml:space="preserve">Desirable TEa from the Ricos/Westgard biological variation database (2014 update), as listed alongside SEKK Dmax by Westgard QC. Ricos C, et al. Scand J Clin Lab Invest 1999;59:491–500 (original database).</t>
  </si>
  <si>
    <t xml:space="preserve">Desirable tier only, entered directly as TEa %; optimal/minimum not filled. Superseded by EFLM where EFLM data exist.</t>
  </si>
  <si>
    <t xml:space="preserve">Other: RfB</t>
  </si>
  <si>
    <t xml:space="preserve">Referenzinstitut für Bioanalytik (RfB). EQA evaluation limit for 25-OH vitamin D (30%).</t>
  </si>
  <si>
    <t xml:space="preserve">Version/year and exact programme to be added.</t>
  </si>
  <si>
    <t xml:space="preserve">T.C. Sağlık Bakanlığı, Sağlık Hizmetleri Genel Müdürlüğü, Tetkik ve Teşhis Hizmetleri Daire Başkanlığı. Tıbbi Laboratuvarlar ve Genetik Hastalıklar Tanı ve Değerlendirme Merkezleri için Analitik Kalite Güvence Esasları, EK-1. Ek-1/A Tablo 1: Kantitatif Ölçümler İçin Analitik Performans Kriterleri. Ankara; 2026.</t>
  </si>
  <si>
    <t xml:space="preserve">DKD sapma sınırı = EQA deviation limit (comparison TEa). IKK CV = maximum IQC CV (reference only). Absolute limits apply around the EQA sample target and are not converted. hs-troponin T and most immunoassays here are not listed.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</si>
</sst>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"/>
    <numFmt numFmtId="168" formatCode="0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0"/>
        <bgColor rgb="FFD5EFE4"/>
      </patternFill>
    </fill>
    <fill>
      <patternFill patternType="solid">
        <fgColor rgb="FFEEF3F8"/>
        <bgColor rgb="FFF5F5F5"/>
      </patternFill>
    </fill>
    <fill>
      <patternFill patternType="solid">
        <fgColor rgb="FFFFF2A8"/>
        <bgColor rgb="FFFCE4C4"/>
      </patternFill>
    </fill>
    <fill>
      <patternFill patternType="solid">
        <fgColor rgb="FFF5F5F5"/>
        <bgColor rgb="FFEEF3F8"/>
      </patternFill>
    </fill>
    <fill>
      <patternFill patternType="solid">
        <fgColor rgb="FFEDEDED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fgColor rgb="FFDCE6F0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9FD8BF"/>
          <bgColor rgb="FF000000"/>
        </patternFill>
      </fill>
    </dxf>
    <dxf>
      <fill>
        <patternFill patternType="solid">
          <fgColor rgb="FFD5EFE4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CE4C4"/>
          <bgColor rgb="FF000000"/>
        </patternFill>
      </fill>
    </dxf>
    <dxf>
      <fill>
        <patternFill>
          <bgColor rgb="FFF4C7C3"/>
        </patternFill>
      </fill>
    </dxf>
    <dxf>
      <fill>
        <patternFill>
          <bgColor rgb="FFFCE4C4"/>
        </patternFill>
      </fill>
    </dxf>
    <dxf>
      <fill>
        <patternFill>
          <bgColor rgb="FFD5EFE4"/>
        </patternFill>
      </fill>
    </dxf>
    <dxf>
      <fill>
        <patternFill>
          <bgColor rgb="FF9FD8BF"/>
        </patternFill>
      </fill>
    </dxf>
  </dxf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3F8"/>
      <rgbColor rgb="FFDCE6F0"/>
      <rgbColor rgb="FF660066"/>
      <rgbColor rgb="FFFF8080"/>
      <rgbColor rgb="FF0066CC"/>
      <rgbColor rgb="FFFCE4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5EFE4"/>
      <rgbColor rgb="FFFFF2A8"/>
      <rgbColor rgb="FF9FD8B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5"/>
  </cols>
  <sheetData>
    <row r="1" customFormat="false" ht="17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/>
    </row>
    <row r="3" customFormat="false" ht="15" hidden="false" customHeight="true" outlineLevel="0" collapsed="false">
      <c r="B3" s="4" t="s">
        <v>1</v>
      </c>
    </row>
    <row r="4" customFormat="false" ht="45.75" hidden="false" customHeight="true" outlineLevel="0" collapsed="false">
      <c r="B4" s="5" t="s">
        <v>2</v>
      </c>
    </row>
    <row r="5" customFormat="false" ht="15" hidden="false" customHeight="true" outlineLevel="0" collapsed="false">
      <c r="B5" s="5" t="s">
        <v>3</v>
      </c>
    </row>
    <row r="6" customFormat="false" ht="15" hidden="false" customHeight="true" outlineLevel="0" collapsed="false">
      <c r="B6" s="3"/>
    </row>
    <row r="7" customFormat="false" ht="15" hidden="false" customHeight="true" outlineLevel="0" collapsed="false">
      <c r="B7" s="4" t="s">
        <v>4</v>
      </c>
    </row>
    <row r="8" customFormat="false" ht="34.5" hidden="false" customHeight="true" outlineLevel="0" collapsed="false">
      <c r="B8" s="5" t="s">
        <v>5</v>
      </c>
    </row>
    <row r="9" customFormat="false" ht="23.2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 t="s">
        <v>7</v>
      </c>
    </row>
    <row r="11" customFormat="false" ht="15" hidden="false" customHeight="true" outlineLevel="0" collapsed="false">
      <c r="B11" s="5" t="s">
        <v>8</v>
      </c>
    </row>
    <row r="12" customFormat="false" ht="15" hidden="false" customHeight="true" outlineLevel="0" collapsed="false">
      <c r="B12" s="3"/>
    </row>
    <row r="13" customFormat="false" ht="15" hidden="false" customHeight="true" outlineLevel="0" collapsed="false">
      <c r="B13" s="4" t="s">
        <v>9</v>
      </c>
    </row>
    <row r="14" customFormat="false" ht="34.5" hidden="false" customHeight="true" outlineLevel="0" collapsed="false">
      <c r="B14" s="5" t="s">
        <v>10</v>
      </c>
    </row>
    <row r="15" customFormat="false" ht="15" hidden="false" customHeight="true" outlineLevel="0" collapsed="false">
      <c r="B15" s="3"/>
    </row>
    <row r="16" customFormat="false" ht="1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5" t="s">
        <v>12</v>
      </c>
    </row>
    <row r="18" customFormat="false" ht="34.5" hidden="false" customHeight="true" outlineLevel="0" collapsed="false">
      <c r="B18" s="5" t="s">
        <v>13</v>
      </c>
    </row>
    <row r="19" customFormat="false" ht="15" hidden="false" customHeight="true" outlineLevel="0" collapsed="false">
      <c r="B19" s="5" t="s">
        <v>14</v>
      </c>
    </row>
    <row r="20" customFormat="false" ht="15" hidden="false" customHeight="true" outlineLevel="0" collapsed="false">
      <c r="B20" s="3"/>
    </row>
    <row r="21" customFormat="false" ht="15" hidden="false" customHeight="true" outlineLevel="0" collapsed="false">
      <c r="B21" s="4" t="s">
        <v>15</v>
      </c>
    </row>
    <row r="22" customFormat="false" ht="23.25" hidden="false" customHeight="true" outlineLevel="0" collapsed="false">
      <c r="B22" s="5" t="s">
        <v>16</v>
      </c>
    </row>
    <row r="23" customFormat="false" ht="15" hidden="false" customHeight="true" outlineLevel="0" collapsed="false">
      <c r="B23" s="5" t="s">
        <v>17</v>
      </c>
    </row>
    <row r="24" customFormat="false" ht="15" hidden="false" customHeight="true" outlineLevel="0" collapsed="false">
      <c r="B24" s="3"/>
    </row>
    <row r="25" customFormat="false" ht="15" hidden="false" customHeight="true" outlineLevel="0" collapsed="false">
      <c r="B25" s="4" t="s">
        <v>18</v>
      </c>
    </row>
    <row r="26" customFormat="false" ht="34.5" hidden="false" customHeight="true" outlineLevel="0" collapsed="false">
      <c r="B26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9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8"/>
    <col collapsed="false" customWidth="true" hidden="false" outlineLevel="0" max="14" min="14" style="1" width="12"/>
    <col collapsed="false" customWidth="true" hidden="false" outlineLevel="0" max="15" min="15" style="1" width="8"/>
    <col collapsed="false" customWidth="true" hidden="false" outlineLevel="0" max="16" min="16" style="1" width="14"/>
    <col collapsed="false" customWidth="true" hidden="false" outlineLevel="0" max="18" min="17" style="1" width="8"/>
    <col collapsed="false" customWidth="true" hidden="false" outlineLevel="0" max="19" min="19" style="1" width="11"/>
    <col collapsed="false" customWidth="true" hidden="false" outlineLevel="0" max="20" min="20" style="1" width="8"/>
    <col collapsed="false" customWidth="true" hidden="false" outlineLevel="0" max="21" min="21" style="1" width="13"/>
    <col collapsed="false" customWidth="true" hidden="false" outlineLevel="0" max="22" min="22" style="1" width="9"/>
    <col collapsed="false" customWidth="true" hidden="false" outlineLevel="0" max="24" min="23" style="1" width="8"/>
    <col collapsed="false" customWidth="true" hidden="false" outlineLevel="0" max="25" min="25" style="1" width="9"/>
    <col collapsed="false" customWidth="true" hidden="false" outlineLevel="0" max="26" min="26" style="1" width="10"/>
    <col collapsed="false" customWidth="true" hidden="false" outlineLevel="0" max="28" min="27" style="1" width="9"/>
    <col collapsed="false" customWidth="true" hidden="false" outlineLevel="0" max="29" min="29" style="1" width="10"/>
    <col collapsed="false" customWidth="true" hidden="false" outlineLevel="0" max="30" min="30" style="1" width="9"/>
    <col collapsed="false" customWidth="true" hidden="false" outlineLevel="0" max="31" min="31" style="1" width="14"/>
    <col collapsed="false" customWidth="true" hidden="false" outlineLevel="0" max="32" min="32" style="1" width="8"/>
    <col collapsed="false" customWidth="true" hidden="false" outlineLevel="0" max="33" min="33" style="1" width="9"/>
    <col collapsed="false" customWidth="true" hidden="false" outlineLevel="0" max="34" min="34" style="1" width="40"/>
  </cols>
  <sheetData>
    <row r="1" customFormat="false" ht="15.75" hidden="false" customHeight="true" outlineLevel="0" collapsed="false">
      <c r="A1" s="6" t="s">
        <v>20</v>
      </c>
    </row>
    <row r="2" customFormat="false" ht="15" hidden="false" customHeight="true" outlineLevel="0" collapsed="false">
      <c r="A2" s="7" t="s">
        <v>21</v>
      </c>
    </row>
    <row r="4" customFormat="false" ht="23.25" hidden="false" customHeight="true" outlineLevel="0" collapsed="false">
      <c r="A4" s="8" t="s">
        <v>22</v>
      </c>
      <c r="B4" s="8" t="s">
        <v>23</v>
      </c>
      <c r="C4" s="8" t="s">
        <v>24</v>
      </c>
      <c r="D4" s="8" t="s">
        <v>25</v>
      </c>
      <c r="E4" s="8" t="s">
        <v>26</v>
      </c>
      <c r="F4" s="8"/>
      <c r="G4" s="8" t="s">
        <v>27</v>
      </c>
      <c r="H4" s="8"/>
      <c r="I4" s="8" t="s">
        <v>28</v>
      </c>
      <c r="J4" s="8"/>
      <c r="K4" s="8" t="s">
        <v>29</v>
      </c>
      <c r="L4" s="8"/>
      <c r="M4" s="8" t="s">
        <v>30</v>
      </c>
      <c r="N4" s="8"/>
      <c r="O4" s="8" t="s">
        <v>31</v>
      </c>
      <c r="P4" s="8"/>
      <c r="Q4" s="8" t="s">
        <v>32</v>
      </c>
      <c r="R4" s="8" t="s">
        <v>33</v>
      </c>
      <c r="S4" s="8"/>
      <c r="T4" s="8" t="s">
        <v>34</v>
      </c>
      <c r="U4" s="8"/>
      <c r="V4" s="8"/>
      <c r="W4" s="8" t="s">
        <v>35</v>
      </c>
      <c r="X4" s="8"/>
      <c r="Y4" s="8"/>
      <c r="Z4" s="8"/>
      <c r="AA4" s="8"/>
      <c r="AB4" s="8" t="s">
        <v>36</v>
      </c>
      <c r="AC4" s="8"/>
      <c r="AD4" s="8"/>
      <c r="AE4" s="8" t="s">
        <v>37</v>
      </c>
      <c r="AF4" s="8"/>
      <c r="AG4" s="8"/>
      <c r="AH4" s="8" t="s">
        <v>38</v>
      </c>
    </row>
    <row r="5" customFormat="false" ht="42" hidden="false" customHeight="true" outlineLevel="0" collapsed="false">
      <c r="A5" s="8"/>
      <c r="B5" s="8"/>
      <c r="C5" s="8"/>
      <c r="D5" s="8"/>
      <c r="E5" s="8" t="s">
        <v>39</v>
      </c>
      <c r="F5" s="8" t="s">
        <v>40</v>
      </c>
      <c r="G5" s="8" t="s">
        <v>39</v>
      </c>
      <c r="H5" s="8" t="s">
        <v>40</v>
      </c>
      <c r="I5" s="8" t="s">
        <v>39</v>
      </c>
      <c r="J5" s="8" t="s">
        <v>40</v>
      </c>
      <c r="K5" s="8" t="s">
        <v>39</v>
      </c>
      <c r="L5" s="8" t="s">
        <v>40</v>
      </c>
      <c r="M5" s="8" t="s">
        <v>39</v>
      </c>
      <c r="N5" s="8" t="s">
        <v>40</v>
      </c>
      <c r="O5" s="8" t="s">
        <v>39</v>
      </c>
      <c r="P5" s="8" t="s">
        <v>40</v>
      </c>
      <c r="Q5" s="8" t="s">
        <v>39</v>
      </c>
      <c r="R5" s="8" t="s">
        <v>39</v>
      </c>
      <c r="S5" s="8" t="s">
        <v>41</v>
      </c>
      <c r="T5" s="8" t="s">
        <v>42</v>
      </c>
      <c r="U5" s="8" t="s">
        <v>43</v>
      </c>
      <c r="V5" s="8" t="s">
        <v>44</v>
      </c>
      <c r="W5" s="8" t="s">
        <v>45</v>
      </c>
      <c r="X5" s="8" t="s">
        <v>46</v>
      </c>
      <c r="Y5" s="8" t="s">
        <v>47</v>
      </c>
      <c r="Z5" s="8" t="s">
        <v>48</v>
      </c>
      <c r="AA5" s="8" t="s">
        <v>49</v>
      </c>
      <c r="AB5" s="8" t="s">
        <v>47</v>
      </c>
      <c r="AC5" s="8" t="s">
        <v>48</v>
      </c>
      <c r="AD5" s="8" t="s">
        <v>49</v>
      </c>
      <c r="AE5" s="8" t="s">
        <v>50</v>
      </c>
      <c r="AF5" s="8" t="s">
        <v>39</v>
      </c>
      <c r="AG5" s="8" t="s">
        <v>40</v>
      </c>
      <c r="AH5" s="8"/>
    </row>
    <row r="6" customFormat="false" ht="45.75" hidden="false" customHeight="true" outlineLevel="0" collapsed="false">
      <c r="A6" s="9" t="s">
        <v>51</v>
      </c>
      <c r="B6" s="10" t="s">
        <v>52</v>
      </c>
      <c r="C6" s="11" t="s">
        <v>53</v>
      </c>
      <c r="D6" s="11" t="s">
        <v>54</v>
      </c>
      <c r="E6" s="12" t="n">
        <v>2</v>
      </c>
      <c r="F6" s="12"/>
      <c r="G6" s="12"/>
      <c r="H6" s="12" t="s">
        <v>55</v>
      </c>
      <c r="I6" s="12" t="n">
        <v>3</v>
      </c>
      <c r="J6" s="12" t="s">
        <v>56</v>
      </c>
      <c r="K6" s="12"/>
      <c r="L6" s="12"/>
      <c r="M6" s="12" t="n">
        <v>2</v>
      </c>
      <c r="N6" s="12" t="s">
        <v>57</v>
      </c>
      <c r="O6" s="12" t="n">
        <v>4</v>
      </c>
      <c r="P6" s="12"/>
      <c r="Q6" s="12" t="n">
        <v>5</v>
      </c>
      <c r="R6" s="12" t="n">
        <v>3.4</v>
      </c>
      <c r="S6" s="12" t="s">
        <v>58</v>
      </c>
      <c r="T6" s="13" t="n">
        <v>9</v>
      </c>
      <c r="U6" s="14"/>
      <c r="V6" s="13" t="n">
        <v>4</v>
      </c>
      <c r="W6" s="12" t="n">
        <v>0.5</v>
      </c>
      <c r="X6" s="12" t="n">
        <v>0.7</v>
      </c>
      <c r="Y6" s="15" t="n">
        <f aca="false">IF(OR(W6="",X6=""),"",1.65*0.25*W6+0.125*SQRT(W6^2+X6^2))</f>
        <v>0.313779065838033</v>
      </c>
      <c r="Z6" s="15" t="n">
        <f aca="false">IF(OR(W6="",X6=""),"",1.65*0.5*W6+0.25*SQRT(W6^2+X6^2))</f>
        <v>0.627558131676066</v>
      </c>
      <c r="AA6" s="15" t="n">
        <f aca="false">IF(OR(W6="",X6=""),"",1.65*0.75*W6+0.375*SQRT(W6^2+X6^2))</f>
        <v>0.941337197514098</v>
      </c>
      <c r="AB6" s="12"/>
      <c r="AC6" s="12" t="n">
        <v>0.73</v>
      </c>
      <c r="AD6" s="12"/>
      <c r="AE6" s="16"/>
      <c r="AF6" s="12"/>
      <c r="AG6" s="12"/>
      <c r="AH6" s="17" t="s">
        <v>59</v>
      </c>
    </row>
    <row r="7" customFormat="false" ht="34.5" hidden="false" customHeight="true" outlineLevel="0" collapsed="false">
      <c r="A7" s="9" t="s">
        <v>60</v>
      </c>
      <c r="B7" s="10" t="s">
        <v>52</v>
      </c>
      <c r="C7" s="11" t="s">
        <v>53</v>
      </c>
      <c r="D7" s="11" t="s">
        <v>61</v>
      </c>
      <c r="E7" s="12" t="n">
        <v>8</v>
      </c>
      <c r="F7" s="12"/>
      <c r="G7" s="12" t="n">
        <v>10</v>
      </c>
      <c r="H7" s="12" t="s">
        <v>62</v>
      </c>
      <c r="I7" s="12" t="n">
        <v>11.5</v>
      </c>
      <c r="J7" s="12" t="s">
        <v>63</v>
      </c>
      <c r="K7" s="12"/>
      <c r="L7" s="12"/>
      <c r="M7" s="12" t="n">
        <v>8</v>
      </c>
      <c r="N7" s="12" t="s">
        <v>64</v>
      </c>
      <c r="O7" s="12" t="n">
        <v>12</v>
      </c>
      <c r="P7" s="12" t="s">
        <v>65</v>
      </c>
      <c r="Q7" s="12" t="n">
        <v>15</v>
      </c>
      <c r="R7" s="12" t="n">
        <v>10.9</v>
      </c>
      <c r="S7" s="12" t="s">
        <v>58</v>
      </c>
      <c r="T7" s="13" t="n">
        <v>20</v>
      </c>
      <c r="U7" s="14" t="s">
        <v>66</v>
      </c>
      <c r="V7" s="13" t="n">
        <v>5</v>
      </c>
      <c r="W7" s="12" t="n">
        <v>4.4</v>
      </c>
      <c r="X7" s="12" t="n">
        <v>16.1</v>
      </c>
      <c r="Y7" s="15" t="n">
        <f aca="false">IF(OR(W7="",X7=""),"",1.65*0.25*W7+0.125*SQRT(W7^2+X7^2))</f>
        <v>3.90130205147769</v>
      </c>
      <c r="Z7" s="15" t="n">
        <f aca="false">IF(OR(W7="",X7=""),"",1.65*0.5*W7+0.25*SQRT(W7^2+X7^2))</f>
        <v>7.80260410295537</v>
      </c>
      <c r="AA7" s="15" t="n">
        <f aca="false">IF(OR(W7="",X7=""),"",1.65*0.75*W7+0.375*SQRT(W7^2+X7^2))</f>
        <v>11.7039061544331</v>
      </c>
      <c r="AB7" s="12"/>
      <c r="AC7" s="12" t="n">
        <v>8.87</v>
      </c>
      <c r="AD7" s="12"/>
      <c r="AE7" s="16"/>
      <c r="AF7" s="12"/>
      <c r="AG7" s="12"/>
      <c r="AH7" s="17" t="s">
        <v>67</v>
      </c>
    </row>
    <row r="8" customFormat="false" ht="15" hidden="false" customHeight="true" outlineLevel="0" collapsed="false">
      <c r="A8" s="9" t="s">
        <v>68</v>
      </c>
      <c r="B8" s="10" t="s">
        <v>52</v>
      </c>
      <c r="C8" s="11" t="s">
        <v>53</v>
      </c>
      <c r="D8" s="11" t="s">
        <v>69</v>
      </c>
      <c r="E8" s="12" t="n">
        <v>12</v>
      </c>
      <c r="F8" s="12"/>
      <c r="G8" s="12" t="n">
        <v>15</v>
      </c>
      <c r="H8" s="12" t="s">
        <v>70</v>
      </c>
      <c r="I8" s="12" t="n">
        <v>11.5</v>
      </c>
      <c r="J8" s="12" t="s">
        <v>71</v>
      </c>
      <c r="K8" s="12"/>
      <c r="L8" s="12"/>
      <c r="M8" s="12" t="n">
        <v>12</v>
      </c>
      <c r="N8" s="12" t="s">
        <v>72</v>
      </c>
      <c r="O8" s="12" t="n">
        <v>15</v>
      </c>
      <c r="P8" s="12" t="s">
        <v>73</v>
      </c>
      <c r="Q8" s="12" t="n">
        <v>15</v>
      </c>
      <c r="R8" s="12" t="n">
        <v>13.3</v>
      </c>
      <c r="S8" s="12" t="s">
        <v>58</v>
      </c>
      <c r="T8" s="13" t="n">
        <v>20</v>
      </c>
      <c r="U8" s="14" t="s">
        <v>74</v>
      </c>
      <c r="V8" s="13" t="n">
        <v>6</v>
      </c>
      <c r="W8" s="12" t="n">
        <v>12.4</v>
      </c>
      <c r="X8" s="12" t="n">
        <v>29.8</v>
      </c>
      <c r="Y8" s="15" t="n">
        <f aca="false">IF(OR(W8="",X8=""),"",1.65*0.25*W8+0.125*SQRT(W8^2+X8^2))</f>
        <v>9.1496158429273</v>
      </c>
      <c r="Z8" s="15" t="n">
        <f aca="false">IF(OR(W8="",X8=""),"",1.65*0.5*W8+0.25*SQRT(W8^2+X8^2))</f>
        <v>18.2992316858546</v>
      </c>
      <c r="AA8" s="15" t="n">
        <f aca="false">IF(OR(W8="",X8=""),"",1.65*0.75*W8+0.375*SQRT(W8^2+X8^2))</f>
        <v>27.4488475287819</v>
      </c>
      <c r="AB8" s="12"/>
      <c r="AC8" s="12" t="n">
        <v>27.48</v>
      </c>
      <c r="AD8" s="12"/>
      <c r="AE8" s="16"/>
      <c r="AF8" s="12"/>
      <c r="AG8" s="12"/>
      <c r="AH8" s="17"/>
    </row>
    <row r="9" customFormat="false" ht="15" hidden="false" customHeight="true" outlineLevel="0" collapsed="false">
      <c r="A9" s="9" t="s">
        <v>75</v>
      </c>
      <c r="B9" s="10" t="s">
        <v>52</v>
      </c>
      <c r="C9" s="11" t="s">
        <v>53</v>
      </c>
      <c r="D9" s="11" t="s">
        <v>54</v>
      </c>
      <c r="E9" s="12" t="n">
        <v>6</v>
      </c>
      <c r="F9" s="12"/>
      <c r="G9" s="12" t="n">
        <v>8</v>
      </c>
      <c r="H9" s="12" t="s">
        <v>76</v>
      </c>
      <c r="I9" s="12" t="n">
        <v>5</v>
      </c>
      <c r="J9" s="12" t="s">
        <v>77</v>
      </c>
      <c r="K9" s="12"/>
      <c r="L9" s="12"/>
      <c r="M9" s="12" t="n">
        <v>8</v>
      </c>
      <c r="N9" s="12" t="s">
        <v>78</v>
      </c>
      <c r="O9" s="12" t="n">
        <v>7</v>
      </c>
      <c r="P9" s="12" t="s">
        <v>79</v>
      </c>
      <c r="Q9" s="12" t="n">
        <v>9</v>
      </c>
      <c r="R9" s="12" t="n">
        <v>6.3</v>
      </c>
      <c r="S9" s="12" t="s">
        <v>58</v>
      </c>
      <c r="T9" s="13" t="n">
        <v>10</v>
      </c>
      <c r="U9" s="14" t="s">
        <v>80</v>
      </c>
      <c r="V9" s="13" t="n">
        <v>5</v>
      </c>
      <c r="W9" s="12" t="n">
        <v>4.9</v>
      </c>
      <c r="X9" s="12" t="n">
        <v>8.1</v>
      </c>
      <c r="Y9" s="15" t="n">
        <f aca="false">IF(OR(W9="",X9=""),"",1.65*0.25*W9+0.125*SQRT(W9^2+X9^2))</f>
        <v>3.20459800460389</v>
      </c>
      <c r="Z9" s="15" t="n">
        <f aca="false">IF(OR(W9="",X9=""),"",1.65*0.5*W9+0.25*SQRT(W9^2+X9^2))</f>
        <v>6.40919600920777</v>
      </c>
      <c r="AA9" s="15" t="n">
        <f aca="false">IF(OR(W9="",X9=""),"",1.65*0.75*W9+0.375*SQRT(W9^2+X9^2))</f>
        <v>9.61379401381166</v>
      </c>
      <c r="AB9" s="12"/>
      <c r="AC9" s="12" t="n">
        <v>6.96</v>
      </c>
      <c r="AD9" s="12"/>
      <c r="AE9" s="16"/>
      <c r="AF9" s="12"/>
      <c r="AG9" s="12"/>
      <c r="AH9" s="17"/>
    </row>
    <row r="10" customFormat="false" ht="34.5" hidden="false" customHeight="true" outlineLevel="0" collapsed="false">
      <c r="A10" s="9" t="s">
        <v>81</v>
      </c>
      <c r="B10" s="10" t="s">
        <v>52</v>
      </c>
      <c r="C10" s="11" t="s">
        <v>53</v>
      </c>
      <c r="D10" s="11" t="s">
        <v>54</v>
      </c>
      <c r="E10" s="12" t="n">
        <v>3</v>
      </c>
      <c r="F10" s="12"/>
      <c r="G10" s="12"/>
      <c r="H10" s="12" t="s">
        <v>82</v>
      </c>
      <c r="I10" s="12" t="n">
        <v>6</v>
      </c>
      <c r="J10" s="12" t="s">
        <v>83</v>
      </c>
      <c r="K10" s="12"/>
      <c r="L10" s="12"/>
      <c r="M10" s="12" t="n">
        <v>4</v>
      </c>
      <c r="N10" s="12" t="s">
        <v>84</v>
      </c>
      <c r="O10" s="12" t="n">
        <v>5</v>
      </c>
      <c r="P10" s="12" t="s">
        <v>85</v>
      </c>
      <c r="Q10" s="12" t="n">
        <v>10</v>
      </c>
      <c r="R10" s="12" t="n">
        <v>5</v>
      </c>
      <c r="S10" s="12" t="s">
        <v>58</v>
      </c>
      <c r="T10" s="13" t="n">
        <v>10</v>
      </c>
      <c r="U10" s="14" t="s">
        <v>86</v>
      </c>
      <c r="V10" s="13" t="n">
        <v>5</v>
      </c>
      <c r="W10" s="12" t="n">
        <v>1.8</v>
      </c>
      <c r="X10" s="12" t="n">
        <v>2.7</v>
      </c>
      <c r="Y10" s="15" t="n">
        <f aca="false">IF(OR(W10="",X10=""),"",1.65*0.25*W10+0.125*SQRT(W10^2+X10^2))</f>
        <v>1.1481245184897</v>
      </c>
      <c r="Z10" s="15" t="n">
        <f aca="false">IF(OR(W10="",X10=""),"",1.65*0.5*W10+0.25*SQRT(W10^2+X10^2))</f>
        <v>2.2962490369794</v>
      </c>
      <c r="AA10" s="15" t="n">
        <f aca="false">IF(OR(W10="",X10=""),"",1.65*0.75*W10+0.375*SQRT(W10^2+X10^2))</f>
        <v>3.4443735554691</v>
      </c>
      <c r="AB10" s="12"/>
      <c r="AC10" s="12" t="n">
        <v>2.55</v>
      </c>
      <c r="AD10" s="12"/>
      <c r="AE10" s="16"/>
      <c r="AF10" s="12"/>
      <c r="AG10" s="12"/>
      <c r="AH10" s="17" t="s">
        <v>87</v>
      </c>
    </row>
    <row r="11" customFormat="false" ht="15" hidden="false" customHeight="true" outlineLevel="0" collapsed="false">
      <c r="A11" s="9" t="s">
        <v>88</v>
      </c>
      <c r="B11" s="10" t="s">
        <v>52</v>
      </c>
      <c r="C11" s="11" t="s">
        <v>89</v>
      </c>
      <c r="D11" s="11" t="s">
        <v>90</v>
      </c>
      <c r="E11" s="12"/>
      <c r="F11" s="12"/>
      <c r="G11" s="12" t="n">
        <v>20</v>
      </c>
      <c r="H11" s="12" t="s">
        <v>91</v>
      </c>
      <c r="I11" s="12" t="n">
        <v>13.5</v>
      </c>
      <c r="J11" s="12" t="s">
        <v>92</v>
      </c>
      <c r="K11" s="12"/>
      <c r="L11" s="12"/>
      <c r="M11" s="12" t="n">
        <v>20</v>
      </c>
      <c r="N11" s="12" t="s">
        <v>93</v>
      </c>
      <c r="O11" s="12" t="n">
        <v>20</v>
      </c>
      <c r="P11" s="12" t="s">
        <v>94</v>
      </c>
      <c r="Q11" s="12" t="n">
        <v>14</v>
      </c>
      <c r="R11" s="12"/>
      <c r="S11" s="12"/>
      <c r="T11" s="13" t="n">
        <v>25</v>
      </c>
      <c r="U11" s="14" t="s">
        <v>95</v>
      </c>
      <c r="V11" s="13" t="n">
        <v>10</v>
      </c>
      <c r="W11" s="12" t="n">
        <v>17.9</v>
      </c>
      <c r="X11" s="12" t="n">
        <v>36.1</v>
      </c>
      <c r="Y11" s="15" t="n">
        <f aca="false">IF(OR(W11="",X11=""),"",1.65*0.25*W11+0.125*SQRT(W11^2+X11^2))</f>
        <v>12.4205210390686</v>
      </c>
      <c r="Z11" s="15" t="n">
        <f aca="false">IF(OR(W11="",X11=""),"",1.65*0.5*W11+0.25*SQRT(W11^2+X11^2))</f>
        <v>24.8410420781372</v>
      </c>
      <c r="AA11" s="15" t="n">
        <f aca="false">IF(OR(W11="",X11=""),"",1.65*0.75*W11+0.375*SQRT(W11^2+X11^2))</f>
        <v>37.2615631172057</v>
      </c>
      <c r="AB11" s="12"/>
      <c r="AC11" s="12" t="n">
        <v>23.7</v>
      </c>
      <c r="AD11" s="12"/>
      <c r="AE11" s="16"/>
      <c r="AF11" s="12"/>
      <c r="AG11" s="12"/>
      <c r="AH11" s="17"/>
    </row>
    <row r="12" customFormat="false" ht="34.5" hidden="false" customHeight="true" outlineLevel="0" collapsed="false">
      <c r="A12" s="9" t="s">
        <v>96</v>
      </c>
      <c r="B12" s="10" t="s">
        <v>52</v>
      </c>
      <c r="C12" s="11" t="s">
        <v>89</v>
      </c>
      <c r="D12" s="11" t="s">
        <v>97</v>
      </c>
      <c r="E12" s="12"/>
      <c r="F12" s="12"/>
      <c r="G12" s="12" t="n">
        <v>30</v>
      </c>
      <c r="H12" s="12" t="s">
        <v>98</v>
      </c>
      <c r="I12" s="12" t="n">
        <v>20</v>
      </c>
      <c r="J12" s="12" t="s">
        <v>99</v>
      </c>
      <c r="K12" s="12" t="n">
        <v>15</v>
      </c>
      <c r="L12" s="12"/>
      <c r="M12" s="12" t="n">
        <v>20</v>
      </c>
      <c r="N12" s="12" t="s">
        <v>100</v>
      </c>
      <c r="O12" s="12"/>
      <c r="P12" s="12"/>
      <c r="Q12" s="12"/>
      <c r="R12" s="12"/>
      <c r="S12" s="12"/>
      <c r="T12" s="18"/>
      <c r="U12" s="18"/>
      <c r="V12" s="18"/>
      <c r="W12" s="12" t="n">
        <v>11.4</v>
      </c>
      <c r="X12" s="12" t="n">
        <v>30.9</v>
      </c>
      <c r="Y12" s="15" t="n">
        <f aca="false">IF(OR(W12="",X12=""),"",1.65*0.25*W12+0.125*SQRT(W12^2+X12^2))</f>
        <v>8.81948084158768</v>
      </c>
      <c r="Z12" s="15" t="n">
        <f aca="false">IF(OR(W12="",X12=""),"",1.65*0.5*W12+0.25*SQRT(W12^2+X12^2))</f>
        <v>17.6389616831754</v>
      </c>
      <c r="AA12" s="15" t="n">
        <f aca="false">IF(OR(W12="",X12=""),"",1.65*0.75*W12+0.375*SQRT(W12^2+X12^2))</f>
        <v>26.458442524763</v>
      </c>
      <c r="AB12" s="12"/>
      <c r="AC12" s="12"/>
      <c r="AD12" s="12"/>
      <c r="AE12" s="16"/>
      <c r="AF12" s="12"/>
      <c r="AG12" s="12"/>
      <c r="AH12" s="17" t="s">
        <v>101</v>
      </c>
    </row>
    <row r="13" customFormat="false" ht="23.25" hidden="false" customHeight="true" outlineLevel="0" collapsed="false">
      <c r="A13" s="9" t="s">
        <v>102</v>
      </c>
      <c r="B13" s="10" t="s">
        <v>52</v>
      </c>
      <c r="C13" s="11" t="s">
        <v>89</v>
      </c>
      <c r="D13" s="11" t="s">
        <v>103</v>
      </c>
      <c r="E13" s="12" t="n">
        <v>12</v>
      </c>
      <c r="F13" s="12"/>
      <c r="G13" s="12" t="n">
        <v>20</v>
      </c>
      <c r="H13" s="12"/>
      <c r="I13" s="12" t="n">
        <v>13.5</v>
      </c>
      <c r="J13" s="12" t="s">
        <v>104</v>
      </c>
      <c r="K13" s="12"/>
      <c r="L13" s="12"/>
      <c r="M13" s="12" t="n">
        <v>15</v>
      </c>
      <c r="N13" s="12" t="s">
        <v>105</v>
      </c>
      <c r="O13" s="12" t="n">
        <v>25</v>
      </c>
      <c r="P13" s="12" t="s">
        <v>106</v>
      </c>
      <c r="Q13" s="12" t="n">
        <v>24</v>
      </c>
      <c r="R13" s="12"/>
      <c r="S13" s="12"/>
      <c r="T13" s="13" t="n">
        <v>25</v>
      </c>
      <c r="U13" s="14" t="s">
        <v>107</v>
      </c>
      <c r="V13" s="13" t="n">
        <v>10</v>
      </c>
      <c r="W13" s="12" t="n">
        <v>12.9</v>
      </c>
      <c r="X13" s="12"/>
      <c r="Y13" s="15" t="str">
        <f aca="false">IF(OR(W13="",X13=""),"",1.65*0.25*W13+0.125*SQRT(W13^2+X13^2))</f>
        <v/>
      </c>
      <c r="Z13" s="15" t="str">
        <f aca="false">IF(OR(W13="",X13=""),"",1.65*0.5*W13+0.25*SQRT(W13^2+X13^2))</f>
        <v/>
      </c>
      <c r="AA13" s="15" t="str">
        <f aca="false">IF(OR(W13="",X13=""),"",1.65*0.75*W13+0.375*SQRT(W13^2+X13^2))</f>
        <v/>
      </c>
      <c r="AB13" s="12"/>
      <c r="AC13" s="12" t="n">
        <v>16.9</v>
      </c>
      <c r="AD13" s="12"/>
      <c r="AE13" s="16"/>
      <c r="AF13" s="12"/>
      <c r="AG13" s="12"/>
      <c r="AH13" s="17" t="s">
        <v>108</v>
      </c>
    </row>
    <row r="14" customFormat="false" ht="34.5" hidden="false" customHeight="true" outlineLevel="0" collapsed="false">
      <c r="A14" s="9" t="s">
        <v>109</v>
      </c>
      <c r="B14" s="10" t="s">
        <v>52</v>
      </c>
      <c r="C14" s="11" t="s">
        <v>89</v>
      </c>
      <c r="D14" s="11" t="s">
        <v>103</v>
      </c>
      <c r="E14" s="12"/>
      <c r="F14" s="12"/>
      <c r="G14" s="12" t="n">
        <v>20</v>
      </c>
      <c r="H14" s="12" t="s">
        <v>110</v>
      </c>
      <c r="I14" s="12" t="n">
        <v>15.5</v>
      </c>
      <c r="J14" s="12" t="s">
        <v>104</v>
      </c>
      <c r="K14" s="12"/>
      <c r="L14" s="12"/>
      <c r="M14" s="12" t="n">
        <v>8</v>
      </c>
      <c r="N14" s="12" t="s">
        <v>111</v>
      </c>
      <c r="O14" s="12" t="n">
        <v>25</v>
      </c>
      <c r="P14" s="12" t="s">
        <v>112</v>
      </c>
      <c r="Q14" s="12" t="n">
        <v>15</v>
      </c>
      <c r="R14" s="12"/>
      <c r="S14" s="12"/>
      <c r="T14" s="13" t="n">
        <v>25</v>
      </c>
      <c r="U14" s="14" t="s">
        <v>113</v>
      </c>
      <c r="V14" s="13" t="n">
        <v>10</v>
      </c>
      <c r="W14" s="12" t="n">
        <v>6.8</v>
      </c>
      <c r="X14" s="12" t="n">
        <v>42</v>
      </c>
      <c r="Y14" s="15" t="n">
        <f aca="false">IF(OR(W14="",X14=""),"",1.65*0.25*W14+0.125*SQRT(W14^2+X14^2))</f>
        <v>8.1233644102299</v>
      </c>
      <c r="Z14" s="15" t="n">
        <f aca="false">IF(OR(W14="",X14=""),"",1.65*0.5*W14+0.25*SQRT(W14^2+X14^2))</f>
        <v>16.2467288204598</v>
      </c>
      <c r="AA14" s="15" t="n">
        <f aca="false">IF(OR(W14="",X14=""),"",1.65*0.75*W14+0.375*SQRT(W14^2+X14^2))</f>
        <v>24.3700932306897</v>
      </c>
      <c r="AB14" s="12"/>
      <c r="AC14" s="12" t="n">
        <v>33.6</v>
      </c>
      <c r="AD14" s="12"/>
      <c r="AE14" s="16"/>
      <c r="AF14" s="12"/>
      <c r="AG14" s="12"/>
      <c r="AH14" s="17" t="s">
        <v>114</v>
      </c>
    </row>
    <row r="15" customFormat="false" ht="15" hidden="false" customHeight="true" outlineLevel="0" collapsed="false">
      <c r="A15" s="9" t="s">
        <v>115</v>
      </c>
      <c r="B15" s="10" t="s">
        <v>52</v>
      </c>
      <c r="C15" s="11" t="s">
        <v>89</v>
      </c>
      <c r="D15" s="11" t="s">
        <v>116</v>
      </c>
      <c r="E15" s="12"/>
      <c r="F15" s="12"/>
      <c r="G15" s="12"/>
      <c r="H15" s="12"/>
      <c r="I15" s="12" t="n">
        <v>25</v>
      </c>
      <c r="J15" s="12" t="s">
        <v>117</v>
      </c>
      <c r="K15" s="12"/>
      <c r="L15" s="12"/>
      <c r="M15" s="12" t="n">
        <v>15</v>
      </c>
      <c r="N15" s="12" t="s">
        <v>118</v>
      </c>
      <c r="O15" s="12"/>
      <c r="P15" s="12"/>
      <c r="Q15" s="12"/>
      <c r="R15" s="12"/>
      <c r="S15" s="12"/>
      <c r="T15" s="13" t="n">
        <v>25</v>
      </c>
      <c r="U15" s="14" t="s">
        <v>119</v>
      </c>
      <c r="V15" s="13" t="n">
        <v>10</v>
      </c>
      <c r="W15" s="12" t="n">
        <v>6.8</v>
      </c>
      <c r="X15" s="12" t="n">
        <v>37.6</v>
      </c>
      <c r="Y15" s="15" t="n">
        <f aca="false">IF(OR(W15="",X15=""),"",1.65*0.25*W15+0.125*SQRT(W15^2+X15^2))</f>
        <v>7.5812432936357</v>
      </c>
      <c r="Z15" s="15" t="n">
        <f aca="false">IF(OR(W15="",X15=""),"",1.65*0.5*W15+0.25*SQRT(W15^2+X15^2))</f>
        <v>15.1624865872714</v>
      </c>
      <c r="AA15" s="15" t="n">
        <f aca="false">IF(OR(W15="",X15=""),"",1.65*0.75*W15+0.375*SQRT(W15^2+X15^2))</f>
        <v>22.7437298809071</v>
      </c>
      <c r="AB15" s="12"/>
      <c r="AC15" s="12"/>
      <c r="AD15" s="12"/>
      <c r="AE15" s="16" t="s">
        <v>120</v>
      </c>
      <c r="AF15" s="12" t="n">
        <v>30</v>
      </c>
      <c r="AG15" s="12"/>
      <c r="AH15" s="17"/>
    </row>
    <row r="16" customFormat="false" ht="34.5" hidden="false" customHeight="true" outlineLevel="0" collapsed="false">
      <c r="A16" s="9" t="s">
        <v>121</v>
      </c>
      <c r="B16" s="11" t="s">
        <v>122</v>
      </c>
      <c r="C16" s="11" t="s">
        <v>53</v>
      </c>
      <c r="D16" s="11" t="s">
        <v>54</v>
      </c>
      <c r="E16" s="12" t="n">
        <v>4</v>
      </c>
      <c r="F16" s="12"/>
      <c r="G16" s="12"/>
      <c r="H16" s="12" t="s">
        <v>123</v>
      </c>
      <c r="I16" s="12" t="n">
        <v>4.5</v>
      </c>
      <c r="J16" s="12" t="s">
        <v>77</v>
      </c>
      <c r="K16" s="12"/>
      <c r="L16" s="12"/>
      <c r="M16" s="12" t="n">
        <v>5</v>
      </c>
      <c r="N16" s="12" t="s">
        <v>124</v>
      </c>
      <c r="O16" s="12" t="n">
        <v>6</v>
      </c>
      <c r="P16" s="12" t="s">
        <v>125</v>
      </c>
      <c r="Q16" s="12" t="n">
        <v>8</v>
      </c>
      <c r="R16" s="12" t="n">
        <v>4.8</v>
      </c>
      <c r="S16" s="12" t="s">
        <v>126</v>
      </c>
      <c r="T16" s="13" t="n">
        <v>9</v>
      </c>
      <c r="U16" s="14" t="s">
        <v>127</v>
      </c>
      <c r="V16" s="13" t="n">
        <v>4</v>
      </c>
      <c r="W16" s="12"/>
      <c r="X16" s="12"/>
      <c r="Y16" s="15" t="str">
        <f aca="false">IF(OR(W16="",X16=""),"",1.65*0.25*W16+0.125*SQRT(W16^2+X16^2))</f>
        <v/>
      </c>
      <c r="Z16" s="15" t="str">
        <f aca="false">IF(OR(W16="",X16=""),"",1.65*0.5*W16+0.25*SQRT(W16^2+X16^2))</f>
        <v/>
      </c>
      <c r="AA16" s="15" t="str">
        <f aca="false">IF(OR(W16="",X16=""),"",1.65*0.75*W16+0.375*SQRT(W16^2+X16^2))</f>
        <v/>
      </c>
      <c r="AB16" s="12"/>
      <c r="AC16" s="12" t="n">
        <v>5.61</v>
      </c>
      <c r="AD16" s="12"/>
      <c r="AE16" s="16"/>
      <c r="AF16" s="12"/>
      <c r="AG16" s="12"/>
      <c r="AH16" s="17" t="s">
        <v>128</v>
      </c>
    </row>
    <row r="17" customFormat="false" ht="34.5" hidden="false" customHeight="true" outlineLevel="0" collapsed="false">
      <c r="A17" s="9" t="s">
        <v>129</v>
      </c>
      <c r="B17" s="11" t="s">
        <v>122</v>
      </c>
      <c r="C17" s="11" t="s">
        <v>53</v>
      </c>
      <c r="D17" s="11" t="s">
        <v>54</v>
      </c>
      <c r="E17" s="12" t="n">
        <v>3</v>
      </c>
      <c r="F17" s="12"/>
      <c r="G17" s="12" t="n">
        <v>5</v>
      </c>
      <c r="H17" s="12"/>
      <c r="I17" s="12" t="n">
        <v>4.5</v>
      </c>
      <c r="J17" s="12" t="s">
        <v>77</v>
      </c>
      <c r="K17" s="12"/>
      <c r="L17" s="12"/>
      <c r="M17" s="12" t="n">
        <v>3</v>
      </c>
      <c r="N17" s="12" t="s">
        <v>130</v>
      </c>
      <c r="O17" s="12" t="n">
        <v>4</v>
      </c>
      <c r="P17" s="12"/>
      <c r="Q17" s="12" t="n">
        <v>7</v>
      </c>
      <c r="R17" s="12" t="n">
        <v>5.1</v>
      </c>
      <c r="S17" s="12" t="s">
        <v>58</v>
      </c>
      <c r="T17" s="18"/>
      <c r="U17" s="18"/>
      <c r="V17" s="18"/>
      <c r="W17" s="12"/>
      <c r="X17" s="12"/>
      <c r="Y17" s="15" t="str">
        <f aca="false">IF(OR(W17="",X17=""),"",1.65*0.25*W17+0.125*SQRT(W17^2+X17^2))</f>
        <v/>
      </c>
      <c r="Z17" s="15" t="str">
        <f aca="false">IF(OR(W17="",X17=""),"",1.65*0.5*W17+0.25*SQRT(W17^2+X17^2))</f>
        <v/>
      </c>
      <c r="AA17" s="15" t="str">
        <f aca="false">IF(OR(W17="",X17=""),"",1.65*0.75*W17+0.375*SQRT(W17^2+X17^2))</f>
        <v/>
      </c>
      <c r="AB17" s="12"/>
      <c r="AC17" s="12" t="n">
        <v>1.5</v>
      </c>
      <c r="AD17" s="12"/>
      <c r="AE17" s="16"/>
      <c r="AF17" s="12"/>
      <c r="AG17" s="12"/>
      <c r="AH17" s="17" t="s">
        <v>131</v>
      </c>
    </row>
    <row r="18" customFormat="false" ht="15" hidden="false" customHeight="true" outlineLevel="0" collapsed="false">
      <c r="A18" s="9" t="s">
        <v>132</v>
      </c>
      <c r="B18" s="11" t="s">
        <v>122</v>
      </c>
      <c r="C18" s="11" t="s">
        <v>53</v>
      </c>
      <c r="D18" s="11" t="s">
        <v>54</v>
      </c>
      <c r="E18" s="12" t="n">
        <v>10</v>
      </c>
      <c r="F18" s="12"/>
      <c r="G18" s="12" t="n">
        <v>9</v>
      </c>
      <c r="H18" s="12" t="s">
        <v>133</v>
      </c>
      <c r="I18" s="12" t="n">
        <v>10.5</v>
      </c>
      <c r="J18" s="12" t="s">
        <v>63</v>
      </c>
      <c r="K18" s="12"/>
      <c r="L18" s="12"/>
      <c r="M18" s="12" t="n">
        <v>12</v>
      </c>
      <c r="N18" s="12" t="s">
        <v>134</v>
      </c>
      <c r="O18" s="12" t="n">
        <v>8</v>
      </c>
      <c r="P18" s="12" t="s">
        <v>135</v>
      </c>
      <c r="Q18" s="12" t="n">
        <v>15</v>
      </c>
      <c r="R18" s="12" t="n">
        <v>9</v>
      </c>
      <c r="S18" s="12" t="s">
        <v>126</v>
      </c>
      <c r="T18" s="13" t="n">
        <v>20</v>
      </c>
      <c r="U18" s="14" t="s">
        <v>136</v>
      </c>
      <c r="V18" s="13" t="n">
        <v>5</v>
      </c>
      <c r="W18" s="12"/>
      <c r="X18" s="12"/>
      <c r="Y18" s="15" t="str">
        <f aca="false">IF(OR(W18="",X18=""),"",1.65*0.25*W18+0.125*SQRT(W18^2+X18^2))</f>
        <v/>
      </c>
      <c r="Z18" s="15" t="str">
        <f aca="false">IF(OR(W18="",X18=""),"",1.65*0.5*W18+0.25*SQRT(W18^2+X18^2))</f>
        <v/>
      </c>
      <c r="AA18" s="15" t="str">
        <f aca="false">IF(OR(W18="",X18=""),"",1.65*0.75*W18+0.375*SQRT(W18^2+X18^2))</f>
        <v/>
      </c>
      <c r="AB18" s="12"/>
      <c r="AC18" s="12" t="n">
        <v>15.55</v>
      </c>
      <c r="AD18" s="12"/>
      <c r="AE18" s="16"/>
      <c r="AF18" s="12"/>
      <c r="AG18" s="12"/>
      <c r="AH18" s="17"/>
    </row>
    <row r="19" customFormat="false" ht="34.5" hidden="false" customHeight="true" outlineLevel="0" collapsed="false">
      <c r="A19" s="9" t="s">
        <v>137</v>
      </c>
      <c r="B19" s="11" t="s">
        <v>122</v>
      </c>
      <c r="C19" s="11" t="s">
        <v>53</v>
      </c>
      <c r="D19" s="11" t="s">
        <v>61</v>
      </c>
      <c r="E19" s="12" t="n">
        <v>8</v>
      </c>
      <c r="F19" s="12"/>
      <c r="G19" s="12" t="n">
        <v>10</v>
      </c>
      <c r="H19" s="12"/>
      <c r="I19" s="12" t="n">
        <v>7</v>
      </c>
      <c r="J19" s="12" t="s">
        <v>138</v>
      </c>
      <c r="K19" s="12"/>
      <c r="L19" s="12"/>
      <c r="M19" s="12" t="n">
        <v>8</v>
      </c>
      <c r="N19" s="12" t="s">
        <v>139</v>
      </c>
      <c r="O19" s="12" t="n">
        <v>12</v>
      </c>
      <c r="P19" s="12"/>
      <c r="Q19" s="12" t="n">
        <v>14</v>
      </c>
      <c r="R19" s="12" t="n">
        <v>8</v>
      </c>
      <c r="S19" s="12" t="s">
        <v>58</v>
      </c>
      <c r="T19" s="13" t="n">
        <v>13</v>
      </c>
      <c r="U19" s="14" t="s">
        <v>140</v>
      </c>
      <c r="V19" s="13" t="n">
        <v>5</v>
      </c>
      <c r="W19" s="12"/>
      <c r="X19" s="12"/>
      <c r="Y19" s="15" t="str">
        <f aca="false">IF(OR(W19="",X19=""),"",1.65*0.25*W19+0.125*SQRT(W19^2+X19^2))</f>
        <v/>
      </c>
      <c r="Z19" s="15" t="str">
        <f aca="false">IF(OR(W19="",X19=""),"",1.65*0.5*W19+0.25*SQRT(W19^2+X19^2))</f>
        <v/>
      </c>
      <c r="AA19" s="15" t="str">
        <f aca="false">IF(OR(W19="",X19=""),"",1.65*0.75*W19+0.375*SQRT(W19^2+X19^2))</f>
        <v/>
      </c>
      <c r="AB19" s="12"/>
      <c r="AC19" s="12" t="n">
        <v>11.97</v>
      </c>
      <c r="AD19" s="12"/>
      <c r="AE19" s="16"/>
      <c r="AF19" s="12"/>
      <c r="AG19" s="12"/>
      <c r="AH19" s="17" t="s">
        <v>141</v>
      </c>
    </row>
    <row r="20" customFormat="false" ht="15" hidden="false" customHeight="true" outlineLevel="0" collapsed="false">
      <c r="A20" s="9" t="s">
        <v>142</v>
      </c>
      <c r="B20" s="11" t="s">
        <v>122</v>
      </c>
      <c r="C20" s="11" t="s">
        <v>53</v>
      </c>
      <c r="D20" s="11" t="s">
        <v>69</v>
      </c>
      <c r="E20" s="12" t="n">
        <v>12</v>
      </c>
      <c r="F20" s="12"/>
      <c r="G20" s="12" t="n">
        <v>15</v>
      </c>
      <c r="H20" s="12" t="s">
        <v>70</v>
      </c>
      <c r="I20" s="12" t="n">
        <v>11.5</v>
      </c>
      <c r="J20" s="12" t="s">
        <v>71</v>
      </c>
      <c r="K20" s="12"/>
      <c r="L20" s="12"/>
      <c r="M20" s="12" t="n">
        <v>12</v>
      </c>
      <c r="N20" s="12" t="s">
        <v>72</v>
      </c>
      <c r="O20" s="12" t="n">
        <v>15</v>
      </c>
      <c r="P20" s="12" t="s">
        <v>73</v>
      </c>
      <c r="Q20" s="12" t="n">
        <v>15</v>
      </c>
      <c r="R20" s="12" t="n">
        <v>11.3</v>
      </c>
      <c r="S20" s="12" t="s">
        <v>126</v>
      </c>
      <c r="T20" s="13" t="n">
        <v>20</v>
      </c>
      <c r="U20" s="14" t="s">
        <v>74</v>
      </c>
      <c r="V20" s="13" t="n">
        <v>6</v>
      </c>
      <c r="W20" s="12"/>
      <c r="X20" s="12"/>
      <c r="Y20" s="15" t="str">
        <f aca="false">IF(OR(W20="",X20=""),"",1.65*0.25*W20+0.125*SQRT(W20^2+X20^2))</f>
        <v/>
      </c>
      <c r="Z20" s="15" t="str">
        <f aca="false">IF(OR(W20="",X20=""),"",1.65*0.5*W20+0.25*SQRT(W20^2+X20^2))</f>
        <v/>
      </c>
      <c r="AA20" s="15" t="str">
        <f aca="false">IF(OR(W20="",X20=""),"",1.65*0.75*W20+0.375*SQRT(W20^2+X20^2))</f>
        <v/>
      </c>
      <c r="AB20" s="12"/>
      <c r="AC20" s="12" t="n">
        <v>16.69</v>
      </c>
      <c r="AD20" s="12"/>
      <c r="AE20" s="16"/>
      <c r="AF20" s="12"/>
      <c r="AG20" s="12"/>
      <c r="AH20" s="17"/>
    </row>
    <row r="21" customFormat="false" ht="34.5" hidden="false" customHeight="true" outlineLevel="0" collapsed="false">
      <c r="A21" s="9" t="s">
        <v>143</v>
      </c>
      <c r="B21" s="11" t="s">
        <v>122</v>
      </c>
      <c r="C21" s="11" t="s">
        <v>53</v>
      </c>
      <c r="D21" s="11" t="s">
        <v>69</v>
      </c>
      <c r="E21" s="12" t="n">
        <v>12</v>
      </c>
      <c r="F21" s="12"/>
      <c r="G21" s="12" t="n">
        <v>20</v>
      </c>
      <c r="H21" s="12"/>
      <c r="I21" s="12" t="n">
        <v>11</v>
      </c>
      <c r="J21" s="12" t="s">
        <v>144</v>
      </c>
      <c r="K21" s="12"/>
      <c r="L21" s="12"/>
      <c r="M21" s="12" t="n">
        <v>12</v>
      </c>
      <c r="N21" s="12" t="s">
        <v>145</v>
      </c>
      <c r="O21" s="12" t="n">
        <v>18</v>
      </c>
      <c r="P21" s="12" t="s">
        <v>146</v>
      </c>
      <c r="Q21" s="12" t="n">
        <v>24</v>
      </c>
      <c r="R21" s="12"/>
      <c r="S21" s="12"/>
      <c r="T21" s="13" t="n">
        <v>30</v>
      </c>
      <c r="U21" s="14"/>
      <c r="V21" s="13" t="n">
        <v>8</v>
      </c>
      <c r="W21" s="12"/>
      <c r="X21" s="12"/>
      <c r="Y21" s="15" t="str">
        <f aca="false">IF(OR(W21="",X21=""),"",1.65*0.25*W21+0.125*SQRT(W21^2+X21^2))</f>
        <v/>
      </c>
      <c r="Z21" s="15" t="str">
        <f aca="false">IF(OR(W21="",X21=""),"",1.65*0.5*W21+0.25*SQRT(W21^2+X21^2))</f>
        <v/>
      </c>
      <c r="AA21" s="15" t="str">
        <f aca="false">IF(OR(W21="",X21=""),"",1.65*0.75*W21+0.375*SQRT(W21^2+X21^2))</f>
        <v/>
      </c>
      <c r="AB21" s="12"/>
      <c r="AC21" s="12" t="n">
        <v>12.04</v>
      </c>
      <c r="AD21" s="12"/>
      <c r="AE21" s="16"/>
      <c r="AF21" s="12"/>
      <c r="AG21" s="12"/>
      <c r="AH21" s="17" t="s">
        <v>147</v>
      </c>
    </row>
    <row r="22" customFormat="false" ht="15" hidden="false" customHeight="true" outlineLevel="0" collapsed="false">
      <c r="A22" s="9" t="s">
        <v>148</v>
      </c>
      <c r="B22" s="11" t="s">
        <v>122</v>
      </c>
      <c r="C22" s="11" t="s">
        <v>53</v>
      </c>
      <c r="D22" s="11" t="s">
        <v>69</v>
      </c>
      <c r="E22" s="12" t="n">
        <v>12</v>
      </c>
      <c r="F22" s="12"/>
      <c r="G22" s="12" t="n">
        <v>15</v>
      </c>
      <c r="H22" s="12" t="s">
        <v>149</v>
      </c>
      <c r="I22" s="12" t="n">
        <v>11.5</v>
      </c>
      <c r="J22" s="12" t="s">
        <v>71</v>
      </c>
      <c r="K22" s="12"/>
      <c r="L22" s="12"/>
      <c r="M22" s="12" t="n">
        <v>12</v>
      </c>
      <c r="N22" s="12" t="s">
        <v>72</v>
      </c>
      <c r="O22" s="12" t="n">
        <v>11</v>
      </c>
      <c r="P22" s="12" t="s">
        <v>150</v>
      </c>
      <c r="Q22" s="12" t="n">
        <v>15</v>
      </c>
      <c r="R22" s="12" t="n">
        <v>14.2</v>
      </c>
      <c r="S22" s="12" t="s">
        <v>58</v>
      </c>
      <c r="T22" s="13" t="n">
        <v>20</v>
      </c>
      <c r="U22" s="14" t="s">
        <v>151</v>
      </c>
      <c r="V22" s="13" t="n">
        <v>6</v>
      </c>
      <c r="W22" s="12"/>
      <c r="X22" s="12"/>
      <c r="Y22" s="15" t="str">
        <f aca="false">IF(OR(W22="",X22=""),"",1.65*0.25*W22+0.125*SQRT(W22^2+X22^2))</f>
        <v/>
      </c>
      <c r="Z22" s="15" t="str">
        <f aca="false">IF(OR(W22="",X22=""),"",1.65*0.5*W22+0.25*SQRT(W22^2+X22^2))</f>
        <v/>
      </c>
      <c r="AA22" s="15" t="str">
        <f aca="false">IF(OR(W22="",X22=""),"",1.65*0.75*W22+0.375*SQRT(W22^2+X22^2))</f>
        <v/>
      </c>
      <c r="AB22" s="12"/>
      <c r="AC22" s="12" t="n">
        <v>22.11</v>
      </c>
      <c r="AD22" s="12"/>
      <c r="AE22" s="16"/>
      <c r="AF22" s="12"/>
      <c r="AG22" s="12"/>
      <c r="AH22" s="17"/>
    </row>
    <row r="23" customFormat="false" ht="34.5" hidden="false" customHeight="true" outlineLevel="0" collapsed="false">
      <c r="A23" s="9" t="s">
        <v>152</v>
      </c>
      <c r="B23" s="11" t="s">
        <v>122</v>
      </c>
      <c r="C23" s="11" t="s">
        <v>53</v>
      </c>
      <c r="D23" s="11" t="s">
        <v>69</v>
      </c>
      <c r="E23" s="12" t="n">
        <v>12</v>
      </c>
      <c r="F23" s="12"/>
      <c r="G23" s="12" t="n">
        <v>15</v>
      </c>
      <c r="H23" s="12"/>
      <c r="I23" s="12" t="n">
        <v>9</v>
      </c>
      <c r="J23" s="12" t="s">
        <v>144</v>
      </c>
      <c r="K23" s="12"/>
      <c r="L23" s="12"/>
      <c r="M23" s="12" t="n">
        <v>8</v>
      </c>
      <c r="N23" s="12" t="s">
        <v>153</v>
      </c>
      <c r="O23" s="12" t="n">
        <v>11</v>
      </c>
      <c r="P23" s="12"/>
      <c r="Q23" s="12" t="n">
        <v>21</v>
      </c>
      <c r="R23" s="12" t="n">
        <v>10.7</v>
      </c>
      <c r="S23" s="12" t="s">
        <v>58</v>
      </c>
      <c r="T23" s="18"/>
      <c r="U23" s="18"/>
      <c r="V23" s="18"/>
      <c r="W23" s="12"/>
      <c r="X23" s="12"/>
      <c r="Y23" s="15" t="str">
        <f aca="false">IF(OR(W23="",X23=""),"",1.65*0.25*W23+0.125*SQRT(W23^2+X23^2))</f>
        <v/>
      </c>
      <c r="Z23" s="15" t="str">
        <f aca="false">IF(OR(W23="",X23=""),"",1.65*0.5*W23+0.25*SQRT(W23^2+X23^2))</f>
        <v/>
      </c>
      <c r="AA23" s="15" t="str">
        <f aca="false">IF(OR(W23="",X23=""),"",1.65*0.75*W23+0.375*SQRT(W23^2+X23^2))</f>
        <v/>
      </c>
      <c r="AB23" s="12"/>
      <c r="AC23" s="12" t="n">
        <v>11.4</v>
      </c>
      <c r="AD23" s="12"/>
      <c r="AE23" s="16"/>
      <c r="AF23" s="12"/>
      <c r="AG23" s="12"/>
      <c r="AH23" s="17" t="s">
        <v>154</v>
      </c>
    </row>
    <row r="24" customFormat="false" ht="34.5" hidden="false" customHeight="true" outlineLevel="0" collapsed="false">
      <c r="A24" s="9" t="s">
        <v>155</v>
      </c>
      <c r="B24" s="11" t="s">
        <v>122</v>
      </c>
      <c r="C24" s="11" t="s">
        <v>53</v>
      </c>
      <c r="D24" s="11" t="s">
        <v>69</v>
      </c>
      <c r="E24" s="12" t="n">
        <v>12</v>
      </c>
      <c r="F24" s="12"/>
      <c r="G24" s="12" t="n">
        <v>20</v>
      </c>
      <c r="H24" s="12"/>
      <c r="I24" s="12" t="n">
        <v>11</v>
      </c>
      <c r="J24" s="12" t="s">
        <v>63</v>
      </c>
      <c r="K24" s="12"/>
      <c r="L24" s="12"/>
      <c r="M24" s="12" t="n">
        <v>12</v>
      </c>
      <c r="N24" s="12" t="s">
        <v>145</v>
      </c>
      <c r="O24" s="12" t="n">
        <v>15</v>
      </c>
      <c r="P24" s="12"/>
      <c r="Q24" s="12" t="n">
        <v>21</v>
      </c>
      <c r="R24" s="12"/>
      <c r="S24" s="12"/>
      <c r="T24" s="13" t="n">
        <v>20</v>
      </c>
      <c r="U24" s="14"/>
      <c r="V24" s="13" t="n">
        <v>10</v>
      </c>
      <c r="W24" s="12"/>
      <c r="X24" s="12"/>
      <c r="Y24" s="15" t="str">
        <f aca="false">IF(OR(W24="",X24=""),"",1.65*0.25*W24+0.125*SQRT(W24^2+X24^2))</f>
        <v/>
      </c>
      <c r="Z24" s="15" t="str">
        <f aca="false">IF(OR(W24="",X24=""),"",1.65*0.5*W24+0.25*SQRT(W24^2+X24^2))</f>
        <v/>
      </c>
      <c r="AA24" s="15" t="str">
        <f aca="false">IF(OR(W24="",X24=""),"",1.65*0.75*W24+0.375*SQRT(W24^2+X24^2))</f>
        <v/>
      </c>
      <c r="AB24" s="12"/>
      <c r="AC24" s="12" t="n">
        <v>30.3</v>
      </c>
      <c r="AD24" s="12"/>
      <c r="AE24" s="16"/>
      <c r="AF24" s="12"/>
      <c r="AG24" s="12"/>
      <c r="AH24" s="17" t="s">
        <v>156</v>
      </c>
    </row>
    <row r="25" customFormat="false" ht="15" hidden="false" customHeight="true" outlineLevel="0" collapsed="false">
      <c r="A25" s="9" t="s">
        <v>157</v>
      </c>
      <c r="B25" s="11" t="s">
        <v>122</v>
      </c>
      <c r="C25" s="11" t="s">
        <v>53</v>
      </c>
      <c r="D25" s="11" t="s">
        <v>69</v>
      </c>
      <c r="E25" s="12" t="n">
        <v>12</v>
      </c>
      <c r="F25" s="12"/>
      <c r="G25" s="12" t="n">
        <v>20</v>
      </c>
      <c r="H25" s="12"/>
      <c r="I25" s="12" t="n">
        <v>7</v>
      </c>
      <c r="J25" s="12" t="s">
        <v>117</v>
      </c>
      <c r="K25" s="12"/>
      <c r="L25" s="12"/>
      <c r="M25" s="12" t="n">
        <v>10</v>
      </c>
      <c r="N25" s="12" t="s">
        <v>158</v>
      </c>
      <c r="O25" s="12" t="n">
        <v>15</v>
      </c>
      <c r="P25" s="12" t="s">
        <v>159</v>
      </c>
      <c r="Q25" s="12" t="n">
        <v>15</v>
      </c>
      <c r="R25" s="12"/>
      <c r="S25" s="12"/>
      <c r="T25" s="18"/>
      <c r="U25" s="18"/>
      <c r="V25" s="18"/>
      <c r="W25" s="12"/>
      <c r="X25" s="12"/>
      <c r="Y25" s="15" t="str">
        <f aca="false">IF(OR(W25="",X25=""),"",1.65*0.25*W25+0.125*SQRT(W25^2+X25^2))</f>
        <v/>
      </c>
      <c r="Z25" s="15" t="str">
        <f aca="false">IF(OR(W25="",X25=""),"",1.65*0.5*W25+0.25*SQRT(W25^2+X25^2))</f>
        <v/>
      </c>
      <c r="AA25" s="15" t="str">
        <f aca="false">IF(OR(W25="",X25=""),"",1.65*0.75*W25+0.375*SQRT(W25^2+X25^2))</f>
        <v/>
      </c>
      <c r="AB25" s="12"/>
      <c r="AC25" s="12" t="n">
        <v>14.6</v>
      </c>
      <c r="AD25" s="12"/>
      <c r="AE25" s="16"/>
      <c r="AF25" s="12"/>
      <c r="AG25" s="12"/>
      <c r="AH25" s="17"/>
    </row>
    <row r="26" customFormat="false" ht="34.5" hidden="false" customHeight="true" outlineLevel="0" collapsed="false">
      <c r="A26" s="9" t="s">
        <v>160</v>
      </c>
      <c r="B26" s="11" t="s">
        <v>122</v>
      </c>
      <c r="C26" s="11" t="s">
        <v>53</v>
      </c>
      <c r="D26" s="11" t="s">
        <v>69</v>
      </c>
      <c r="E26" s="12" t="n">
        <v>12</v>
      </c>
      <c r="F26" s="12"/>
      <c r="G26" s="12"/>
      <c r="H26" s="12"/>
      <c r="I26" s="12" t="n">
        <v>11</v>
      </c>
      <c r="J26" s="12" t="s">
        <v>117</v>
      </c>
      <c r="K26" s="12"/>
      <c r="L26" s="12"/>
      <c r="M26" s="12" t="n">
        <v>20</v>
      </c>
      <c r="N26" s="12" t="s">
        <v>161</v>
      </c>
      <c r="O26" s="12"/>
      <c r="P26" s="12"/>
      <c r="Q26" s="12" t="n">
        <v>24</v>
      </c>
      <c r="R26" s="12" t="n">
        <v>14.3</v>
      </c>
      <c r="S26" s="12" t="s">
        <v>58</v>
      </c>
      <c r="T26" s="18"/>
      <c r="U26" s="18"/>
      <c r="V26" s="18"/>
      <c r="W26" s="12"/>
      <c r="X26" s="12"/>
      <c r="Y26" s="15" t="str">
        <f aca="false">IF(OR(W26="",X26=""),"",1.65*0.25*W26+0.125*SQRT(W26^2+X26^2))</f>
        <v/>
      </c>
      <c r="Z26" s="15" t="str">
        <f aca="false">IF(OR(W26="",X26=""),"",1.65*0.5*W26+0.25*SQRT(W26^2+X26^2))</f>
        <v/>
      </c>
      <c r="AA26" s="15" t="str">
        <f aca="false">IF(OR(W26="",X26=""),"",1.65*0.75*W26+0.375*SQRT(W26^2+X26^2))</f>
        <v/>
      </c>
      <c r="AB26" s="12"/>
      <c r="AC26" s="12" t="n">
        <v>37.88</v>
      </c>
      <c r="AD26" s="12"/>
      <c r="AE26" s="16"/>
      <c r="AF26" s="12"/>
      <c r="AG26" s="12"/>
      <c r="AH26" s="17" t="s">
        <v>162</v>
      </c>
    </row>
    <row r="27" customFormat="false" ht="45.75" hidden="false" customHeight="true" outlineLevel="0" collapsed="false">
      <c r="A27" s="9" t="s">
        <v>163</v>
      </c>
      <c r="B27" s="11" t="s">
        <v>122</v>
      </c>
      <c r="C27" s="11" t="s">
        <v>53</v>
      </c>
      <c r="D27" s="11" t="s">
        <v>61</v>
      </c>
      <c r="E27" s="12" t="n">
        <v>12</v>
      </c>
      <c r="F27" s="12"/>
      <c r="G27" s="12" t="n">
        <v>20</v>
      </c>
      <c r="H27" s="12" t="s">
        <v>164</v>
      </c>
      <c r="I27" s="12" t="n">
        <v>13</v>
      </c>
      <c r="J27" s="12" t="s">
        <v>165</v>
      </c>
      <c r="K27" s="12"/>
      <c r="L27" s="12"/>
      <c r="M27" s="12" t="n">
        <v>12</v>
      </c>
      <c r="N27" s="12" t="s">
        <v>166</v>
      </c>
      <c r="O27" s="12" t="n">
        <v>15</v>
      </c>
      <c r="P27" s="12" t="s">
        <v>167</v>
      </c>
      <c r="Q27" s="12" t="n">
        <v>21</v>
      </c>
      <c r="R27" s="12" t="n">
        <v>12</v>
      </c>
      <c r="S27" s="12" t="s">
        <v>58</v>
      </c>
      <c r="T27" s="13" t="n">
        <v>20</v>
      </c>
      <c r="U27" s="14" t="s">
        <v>66</v>
      </c>
      <c r="V27" s="13" t="n">
        <v>8</v>
      </c>
      <c r="W27" s="12"/>
      <c r="X27" s="12"/>
      <c r="Y27" s="15" t="str">
        <f aca="false">IF(OR(W27="",X27=""),"",1.65*0.25*W27+0.125*SQRT(W27^2+X27^2))</f>
        <v/>
      </c>
      <c r="Z27" s="15" t="str">
        <f aca="false">IF(OR(W27="",X27=""),"",1.65*0.5*W27+0.25*SQRT(W27^2+X27^2))</f>
        <v/>
      </c>
      <c r="AA27" s="15" t="str">
        <f aca="false">IF(OR(W27="",X27=""),"",1.65*0.75*W27+0.375*SQRT(W27^2+X27^2))</f>
        <v/>
      </c>
      <c r="AB27" s="12"/>
      <c r="AC27" s="12" t="n">
        <v>26.94</v>
      </c>
      <c r="AD27" s="12"/>
      <c r="AE27" s="16"/>
      <c r="AF27" s="12"/>
      <c r="AG27" s="12"/>
      <c r="AH27" s="17" t="s">
        <v>168</v>
      </c>
    </row>
    <row r="28" customFormat="false" ht="34.5" hidden="false" customHeight="true" outlineLevel="0" collapsed="false">
      <c r="A28" s="9" t="s">
        <v>169</v>
      </c>
      <c r="B28" s="11" t="s">
        <v>122</v>
      </c>
      <c r="C28" s="11" t="s">
        <v>53</v>
      </c>
      <c r="D28" s="11" t="s">
        <v>170</v>
      </c>
      <c r="E28" s="12" t="n">
        <v>5</v>
      </c>
      <c r="F28" s="12"/>
      <c r="G28" s="12" t="n">
        <v>8</v>
      </c>
      <c r="H28" s="12"/>
      <c r="I28" s="12" t="n">
        <v>12.5</v>
      </c>
      <c r="J28" s="12" t="s">
        <v>63</v>
      </c>
      <c r="K28" s="12"/>
      <c r="L28" s="12"/>
      <c r="M28" s="12" t="n">
        <v>6</v>
      </c>
      <c r="N28" s="12" t="s">
        <v>171</v>
      </c>
      <c r="O28" s="12" t="n">
        <v>6</v>
      </c>
      <c r="P28" s="12"/>
      <c r="Q28" s="12" t="n">
        <v>12</v>
      </c>
      <c r="R28" s="12" t="n">
        <v>10.7</v>
      </c>
      <c r="S28" s="12" t="s">
        <v>58</v>
      </c>
      <c r="T28" s="13" t="n">
        <v>15</v>
      </c>
      <c r="U28" s="14"/>
      <c r="V28" s="13" t="n">
        <v>6</v>
      </c>
      <c r="W28" s="12"/>
      <c r="X28" s="12"/>
      <c r="Y28" s="15" t="str">
        <f aca="false">IF(OR(W28="",X28=""),"",1.65*0.25*W28+0.125*SQRT(W28^2+X28^2))</f>
        <v/>
      </c>
      <c r="Z28" s="15" t="str">
        <f aca="false">IF(OR(W28="",X28=""),"",1.65*0.5*W28+0.25*SQRT(W28^2+X28^2))</f>
        <v/>
      </c>
      <c r="AA28" s="15" t="str">
        <f aca="false">IF(OR(W28="",X28=""),"",1.65*0.75*W28+0.375*SQRT(W28^2+X28^2))</f>
        <v/>
      </c>
      <c r="AB28" s="12"/>
      <c r="AC28" s="12" t="n">
        <v>4.07</v>
      </c>
      <c r="AD28" s="12"/>
      <c r="AE28" s="16"/>
      <c r="AF28" s="12"/>
      <c r="AG28" s="12"/>
      <c r="AH28" s="17" t="s">
        <v>172</v>
      </c>
    </row>
    <row r="29" customFormat="false" ht="34.5" hidden="false" customHeight="true" outlineLevel="0" collapsed="false">
      <c r="A29" s="9" t="s">
        <v>173</v>
      </c>
      <c r="B29" s="11" t="s">
        <v>122</v>
      </c>
      <c r="C29" s="11" t="s">
        <v>53</v>
      </c>
      <c r="D29" s="11" t="s">
        <v>170</v>
      </c>
      <c r="E29" s="12" t="n">
        <v>5</v>
      </c>
      <c r="F29" s="12"/>
      <c r="G29" s="12" t="n">
        <v>8</v>
      </c>
      <c r="H29" s="12"/>
      <c r="I29" s="12" t="n">
        <v>6</v>
      </c>
      <c r="J29" s="12" t="s">
        <v>83</v>
      </c>
      <c r="K29" s="12"/>
      <c r="L29" s="12"/>
      <c r="M29" s="12" t="n">
        <v>5</v>
      </c>
      <c r="N29" s="12" t="s">
        <v>174</v>
      </c>
      <c r="O29" s="12" t="n">
        <v>5</v>
      </c>
      <c r="P29" s="12"/>
      <c r="Q29" s="12" t="n">
        <v>9</v>
      </c>
      <c r="R29" s="12" t="n">
        <v>6.8</v>
      </c>
      <c r="S29" s="12" t="s">
        <v>58</v>
      </c>
      <c r="T29" s="13" t="n">
        <v>10</v>
      </c>
      <c r="U29" s="14"/>
      <c r="V29" s="13" t="n">
        <v>5</v>
      </c>
      <c r="W29" s="12"/>
      <c r="X29" s="12"/>
      <c r="Y29" s="15" t="str">
        <f aca="false">IF(OR(W29="",X29=""),"",1.65*0.25*W29+0.125*SQRT(W29^2+X29^2))</f>
        <v/>
      </c>
      <c r="Z29" s="15" t="str">
        <f aca="false">IF(OR(W29="",X29=""),"",1.65*0.5*W29+0.25*SQRT(W29^2+X29^2))</f>
        <v/>
      </c>
      <c r="AA29" s="15" t="str">
        <f aca="false">IF(OR(W29="",X29=""),"",1.65*0.75*W29+0.375*SQRT(W29^2+X29^2))</f>
        <v/>
      </c>
      <c r="AB29" s="12"/>
      <c r="AC29" s="12" t="n">
        <v>3.63</v>
      </c>
      <c r="AD29" s="12"/>
      <c r="AE29" s="16"/>
      <c r="AF29" s="12"/>
      <c r="AG29" s="12"/>
      <c r="AH29" s="17" t="s">
        <v>175</v>
      </c>
    </row>
    <row r="30" customFormat="false" ht="15" hidden="false" customHeight="true" outlineLevel="0" collapsed="false">
      <c r="A30" s="9" t="s">
        <v>176</v>
      </c>
      <c r="B30" s="11" t="s">
        <v>122</v>
      </c>
      <c r="C30" s="11" t="s">
        <v>53</v>
      </c>
      <c r="D30" s="11" t="s">
        <v>54</v>
      </c>
      <c r="E30" s="12" t="n">
        <v>6</v>
      </c>
      <c r="F30" s="12"/>
      <c r="G30" s="12" t="n">
        <v>10</v>
      </c>
      <c r="H30" s="12" t="s">
        <v>177</v>
      </c>
      <c r="I30" s="12" t="n">
        <v>9</v>
      </c>
      <c r="J30" s="12" t="s">
        <v>178</v>
      </c>
      <c r="K30" s="12"/>
      <c r="L30" s="12"/>
      <c r="M30" s="12" t="n">
        <v>8</v>
      </c>
      <c r="N30" s="12" t="s">
        <v>179</v>
      </c>
      <c r="O30" s="12" t="n">
        <v>10</v>
      </c>
      <c r="P30" s="12"/>
      <c r="Q30" s="12" t="n">
        <v>15</v>
      </c>
      <c r="R30" s="12" t="n">
        <v>7.4</v>
      </c>
      <c r="S30" s="12" t="s">
        <v>126</v>
      </c>
      <c r="T30" s="13" t="n">
        <v>16</v>
      </c>
      <c r="U30" s="14" t="s">
        <v>180</v>
      </c>
      <c r="V30" s="13" t="n">
        <v>8</v>
      </c>
      <c r="W30" s="12"/>
      <c r="X30" s="12"/>
      <c r="Y30" s="15" t="str">
        <f aca="false">IF(OR(W30="",X30=""),"",1.65*0.25*W30+0.125*SQRT(W30^2+X30^2))</f>
        <v/>
      </c>
      <c r="Z30" s="15" t="str">
        <f aca="false">IF(OR(W30="",X30=""),"",1.65*0.5*W30+0.25*SQRT(W30^2+X30^2))</f>
        <v/>
      </c>
      <c r="AA30" s="15" t="str">
        <f aca="false">IF(OR(W30="",X30=""),"",1.65*0.75*W30+0.375*SQRT(W30^2+X30^2))</f>
        <v/>
      </c>
      <c r="AB30" s="12"/>
      <c r="AC30" s="12" t="n">
        <v>10.11</v>
      </c>
      <c r="AD30" s="12"/>
      <c r="AE30" s="16"/>
      <c r="AF30" s="12"/>
      <c r="AG30" s="12"/>
      <c r="AH30" s="17"/>
    </row>
    <row r="31" customFormat="false" ht="45.75" hidden="false" customHeight="true" outlineLevel="0" collapsed="false">
      <c r="A31" s="9" t="s">
        <v>181</v>
      </c>
      <c r="B31" s="11" t="s">
        <v>122</v>
      </c>
      <c r="C31" s="11" t="s">
        <v>53</v>
      </c>
      <c r="D31" s="11" t="s">
        <v>54</v>
      </c>
      <c r="E31" s="12" t="n">
        <v>6</v>
      </c>
      <c r="F31" s="12"/>
      <c r="G31" s="12" t="n">
        <v>15</v>
      </c>
      <c r="H31" s="12"/>
      <c r="I31" s="12" t="n">
        <v>7.5</v>
      </c>
      <c r="J31" s="12" t="s">
        <v>182</v>
      </c>
      <c r="K31" s="12"/>
      <c r="L31" s="12"/>
      <c r="M31" s="12" t="n">
        <v>8</v>
      </c>
      <c r="N31" s="12" t="s">
        <v>183</v>
      </c>
      <c r="O31" s="12" t="n">
        <v>15</v>
      </c>
      <c r="P31" s="12" t="s">
        <v>184</v>
      </c>
      <c r="Q31" s="12" t="n">
        <v>15</v>
      </c>
      <c r="R31" s="12" t="n">
        <v>8.9</v>
      </c>
      <c r="S31" s="12" t="s">
        <v>58</v>
      </c>
      <c r="T31" s="13" t="n">
        <v>15</v>
      </c>
      <c r="U31" s="14"/>
      <c r="V31" s="13" t="n">
        <v>8</v>
      </c>
      <c r="W31" s="12"/>
      <c r="X31" s="12"/>
      <c r="Y31" s="15" t="str">
        <f aca="false">IF(OR(W31="",X31=""),"",1.65*0.25*W31+0.125*SQRT(W31^2+X31^2))</f>
        <v/>
      </c>
      <c r="Z31" s="15" t="str">
        <f aca="false">IF(OR(W31="",X31=""),"",1.65*0.5*W31+0.25*SQRT(W31^2+X31^2))</f>
        <v/>
      </c>
      <c r="AA31" s="15" t="str">
        <f aca="false">IF(OR(W31="",X31=""),"",1.65*0.75*W31+0.375*SQRT(W31^2+X31^2))</f>
        <v/>
      </c>
      <c r="AB31" s="12"/>
      <c r="AC31" s="12" t="n">
        <v>4.8</v>
      </c>
      <c r="AD31" s="12"/>
      <c r="AE31" s="16"/>
      <c r="AF31" s="12"/>
      <c r="AG31" s="12"/>
      <c r="AH31" s="17" t="s">
        <v>185</v>
      </c>
    </row>
    <row r="32" customFormat="false" ht="15" hidden="false" customHeight="true" outlineLevel="0" collapsed="false">
      <c r="A32" s="9" t="s">
        <v>186</v>
      </c>
      <c r="B32" s="11" t="s">
        <v>122</v>
      </c>
      <c r="C32" s="11" t="s">
        <v>53</v>
      </c>
      <c r="D32" s="11" t="s">
        <v>187</v>
      </c>
      <c r="E32" s="12"/>
      <c r="F32" s="12"/>
      <c r="G32" s="12" t="n">
        <v>30</v>
      </c>
      <c r="H32" s="12" t="s">
        <v>188</v>
      </c>
      <c r="I32" s="12" t="n">
        <v>13.5</v>
      </c>
      <c r="J32" s="12" t="s">
        <v>63</v>
      </c>
      <c r="K32" s="12"/>
      <c r="L32" s="12"/>
      <c r="M32" s="12" t="n">
        <v>20</v>
      </c>
      <c r="N32" s="12" t="s">
        <v>189</v>
      </c>
      <c r="O32" s="12"/>
      <c r="P32" s="12"/>
      <c r="Q32" s="12"/>
      <c r="R32" s="12"/>
      <c r="S32" s="12"/>
      <c r="T32" s="13" t="n">
        <v>20</v>
      </c>
      <c r="U32" s="14"/>
      <c r="V32" s="13" t="n">
        <v>8</v>
      </c>
      <c r="W32" s="12"/>
      <c r="X32" s="12"/>
      <c r="Y32" s="15" t="str">
        <f aca="false">IF(OR(W32="",X32=""),"",1.65*0.25*W32+0.125*SQRT(W32^2+X32^2))</f>
        <v/>
      </c>
      <c r="Z32" s="15" t="str">
        <f aca="false">IF(OR(W32="",X32=""),"",1.65*0.5*W32+0.25*SQRT(W32^2+X32^2))</f>
        <v/>
      </c>
      <c r="AA32" s="15" t="str">
        <f aca="false">IF(OR(W32="",X32=""),"",1.65*0.75*W32+0.375*SQRT(W32^2+X32^2))</f>
        <v/>
      </c>
      <c r="AB32" s="12"/>
      <c r="AC32" s="12"/>
      <c r="AD32" s="12"/>
      <c r="AE32" s="16"/>
      <c r="AF32" s="12"/>
      <c r="AG32" s="12"/>
      <c r="AH32" s="17"/>
    </row>
    <row r="33" customFormat="false" ht="34.5" hidden="false" customHeight="true" outlineLevel="0" collapsed="false">
      <c r="A33" s="9" t="s">
        <v>190</v>
      </c>
      <c r="B33" s="11" t="s">
        <v>122</v>
      </c>
      <c r="C33" s="11" t="s">
        <v>53</v>
      </c>
      <c r="D33" s="11" t="s">
        <v>54</v>
      </c>
      <c r="E33" s="12" t="n">
        <v>5</v>
      </c>
      <c r="F33" s="12"/>
      <c r="G33" s="12" t="n">
        <v>10</v>
      </c>
      <c r="H33" s="12"/>
      <c r="I33" s="12" t="n">
        <v>7</v>
      </c>
      <c r="J33" s="12" t="s">
        <v>138</v>
      </c>
      <c r="K33" s="12"/>
      <c r="L33" s="12"/>
      <c r="M33" s="12" t="n">
        <v>6</v>
      </c>
      <c r="N33" s="12" t="s">
        <v>191</v>
      </c>
      <c r="O33" s="12" t="n">
        <v>9</v>
      </c>
      <c r="P33" s="12"/>
      <c r="Q33" s="12" t="n">
        <v>8.5</v>
      </c>
      <c r="R33" s="12" t="n">
        <v>6.5</v>
      </c>
      <c r="S33" s="12" t="s">
        <v>126</v>
      </c>
      <c r="T33" s="13" t="n">
        <v>13</v>
      </c>
      <c r="U33" s="14"/>
      <c r="V33" s="13" t="n">
        <v>5</v>
      </c>
      <c r="W33" s="12"/>
      <c r="X33" s="12"/>
      <c r="Y33" s="15" t="str">
        <f aca="false">IF(OR(W33="",X33=""),"",1.65*0.25*W33+0.125*SQRT(W33^2+X33^2))</f>
        <v/>
      </c>
      <c r="Z33" s="15" t="str">
        <f aca="false">IF(OR(W33="",X33=""),"",1.65*0.5*W33+0.25*SQRT(W33^2+X33^2))</f>
        <v/>
      </c>
      <c r="AA33" s="15" t="str">
        <f aca="false">IF(OR(W33="",X33=""),"",1.65*0.75*W33+0.375*SQRT(W33^2+X33^2))</f>
        <v/>
      </c>
      <c r="AB33" s="12"/>
      <c r="AC33" s="12" t="n">
        <v>9.01</v>
      </c>
      <c r="AD33" s="12"/>
      <c r="AE33" s="16"/>
      <c r="AF33" s="12"/>
      <c r="AG33" s="12"/>
      <c r="AH33" s="17" t="s">
        <v>192</v>
      </c>
    </row>
    <row r="34" customFormat="false" ht="15" hidden="false" customHeight="true" outlineLevel="0" collapsed="false">
      <c r="A34" s="9" t="s">
        <v>193</v>
      </c>
      <c r="B34" s="11" t="s">
        <v>122</v>
      </c>
      <c r="C34" s="11" t="s">
        <v>53</v>
      </c>
      <c r="D34" s="11" t="s">
        <v>54</v>
      </c>
      <c r="E34" s="12" t="n">
        <v>10</v>
      </c>
      <c r="F34" s="12"/>
      <c r="G34" s="12" t="n">
        <v>20</v>
      </c>
      <c r="H34" s="12" t="s">
        <v>76</v>
      </c>
      <c r="I34" s="12" t="n">
        <v>13</v>
      </c>
      <c r="J34" s="12" t="s">
        <v>117</v>
      </c>
      <c r="K34" s="12"/>
      <c r="L34" s="12"/>
      <c r="M34" s="12" t="n">
        <v>12</v>
      </c>
      <c r="N34" s="12" t="s">
        <v>194</v>
      </c>
      <c r="O34" s="12" t="n">
        <v>20</v>
      </c>
      <c r="P34" s="12" t="s">
        <v>195</v>
      </c>
      <c r="Q34" s="12" t="n">
        <v>15</v>
      </c>
      <c r="R34" s="12" t="n">
        <v>15.3</v>
      </c>
      <c r="S34" s="12" t="s">
        <v>58</v>
      </c>
      <c r="T34" s="13" t="n">
        <v>20</v>
      </c>
      <c r="U34" s="14" t="s">
        <v>80</v>
      </c>
      <c r="V34" s="13" t="n">
        <v>8</v>
      </c>
      <c r="W34" s="12"/>
      <c r="X34" s="12"/>
      <c r="Y34" s="15" t="str">
        <f aca="false">IF(OR(W34="",X34=""),"",1.65*0.25*W34+0.125*SQRT(W34^2+X34^2))</f>
        <v/>
      </c>
      <c r="Z34" s="15" t="str">
        <f aca="false">IF(OR(W34="",X34=""),"",1.65*0.5*W34+0.25*SQRT(W34^2+X34^2))</f>
        <v/>
      </c>
      <c r="AA34" s="15" t="str">
        <f aca="false">IF(OR(W34="",X34=""),"",1.65*0.75*W34+0.375*SQRT(W34^2+X34^2))</f>
        <v/>
      </c>
      <c r="AB34" s="12"/>
      <c r="AC34" s="12" t="n">
        <v>11.63</v>
      </c>
      <c r="AD34" s="12"/>
      <c r="AE34" s="16"/>
      <c r="AF34" s="12"/>
      <c r="AG34" s="12"/>
      <c r="AH34" s="17"/>
    </row>
    <row r="35" customFormat="false" ht="45.75" hidden="false" customHeight="true" outlineLevel="0" collapsed="false">
      <c r="A35" s="9" t="s">
        <v>196</v>
      </c>
      <c r="B35" s="11" t="s">
        <v>122</v>
      </c>
      <c r="C35" s="11" t="s">
        <v>53</v>
      </c>
      <c r="D35" s="11" t="s">
        <v>54</v>
      </c>
      <c r="E35" s="12" t="n">
        <v>10</v>
      </c>
      <c r="F35" s="12"/>
      <c r="G35" s="12" t="n">
        <v>20</v>
      </c>
      <c r="H35" s="12" t="s">
        <v>197</v>
      </c>
      <c r="I35" s="12" t="n">
        <v>9</v>
      </c>
      <c r="J35" s="12" t="s">
        <v>117</v>
      </c>
      <c r="K35" s="12"/>
      <c r="L35" s="12"/>
      <c r="M35" s="12" t="n">
        <v>10</v>
      </c>
      <c r="N35" s="12" t="s">
        <v>198</v>
      </c>
      <c r="O35" s="12" t="n">
        <v>20</v>
      </c>
      <c r="P35" s="12" t="s">
        <v>199</v>
      </c>
      <c r="Q35" s="12"/>
      <c r="R35" s="12"/>
      <c r="S35" s="12"/>
      <c r="T35" s="13" t="n">
        <v>20</v>
      </c>
      <c r="U35" s="14"/>
      <c r="V35" s="13" t="n">
        <v>8</v>
      </c>
      <c r="W35" s="12"/>
      <c r="X35" s="12"/>
      <c r="Y35" s="15" t="str">
        <f aca="false">IF(OR(W35="",X35=""),"",1.65*0.25*W35+0.125*SQRT(W35^2+X35^2))</f>
        <v/>
      </c>
      <c r="Z35" s="15" t="str">
        <f aca="false">IF(OR(W35="",X35=""),"",1.65*0.5*W35+0.25*SQRT(W35^2+X35^2))</f>
        <v/>
      </c>
      <c r="AA35" s="15" t="str">
        <f aca="false">IF(OR(W35="",X35=""),"",1.65*0.75*W35+0.375*SQRT(W35^2+X35^2))</f>
        <v/>
      </c>
      <c r="AB35" s="12"/>
      <c r="AC35" s="12"/>
      <c r="AD35" s="12"/>
      <c r="AE35" s="16"/>
      <c r="AF35" s="12"/>
      <c r="AG35" s="12"/>
      <c r="AH35" s="17" t="s">
        <v>200</v>
      </c>
    </row>
    <row r="36" customFormat="false" ht="34.5" hidden="false" customHeight="true" outlineLevel="0" collapsed="false">
      <c r="A36" s="9" t="s">
        <v>201</v>
      </c>
      <c r="B36" s="11" t="s">
        <v>122</v>
      </c>
      <c r="C36" s="11" t="s">
        <v>53</v>
      </c>
      <c r="D36" s="11" t="s">
        <v>54</v>
      </c>
      <c r="E36" s="12" t="n">
        <v>15</v>
      </c>
      <c r="F36" s="12"/>
      <c r="G36" s="12" t="n">
        <v>15</v>
      </c>
      <c r="H36" s="12"/>
      <c r="I36" s="12" t="n">
        <v>9</v>
      </c>
      <c r="J36" s="12" t="s">
        <v>178</v>
      </c>
      <c r="K36" s="12"/>
      <c r="L36" s="12"/>
      <c r="M36" s="12" t="n">
        <v>12</v>
      </c>
      <c r="N36" s="12" t="s">
        <v>202</v>
      </c>
      <c r="O36" s="12" t="n">
        <v>14</v>
      </c>
      <c r="P36" s="12"/>
      <c r="Q36" s="12" t="n">
        <v>15</v>
      </c>
      <c r="R36" s="12" t="n">
        <v>20</v>
      </c>
      <c r="S36" s="12" t="s">
        <v>58</v>
      </c>
      <c r="T36" s="13" t="n">
        <v>15</v>
      </c>
      <c r="U36" s="14"/>
      <c r="V36" s="13" t="n">
        <v>6</v>
      </c>
      <c r="W36" s="12"/>
      <c r="X36" s="12"/>
      <c r="Y36" s="15" t="str">
        <f aca="false">IF(OR(W36="",X36=""),"",1.65*0.25*W36+0.125*SQRT(W36^2+X36^2))</f>
        <v/>
      </c>
      <c r="Z36" s="15" t="str">
        <f aca="false">IF(OR(W36="",X36=""),"",1.65*0.5*W36+0.25*SQRT(W36^2+X36^2))</f>
        <v/>
      </c>
      <c r="AA36" s="15" t="str">
        <f aca="false">IF(OR(W36="",X36=""),"",1.65*0.75*W36+0.375*SQRT(W36^2+X36^2))</f>
        <v/>
      </c>
      <c r="AB36" s="12"/>
      <c r="AC36" s="12" t="n">
        <v>25.99</v>
      </c>
      <c r="AD36" s="12"/>
      <c r="AE36" s="16"/>
      <c r="AF36" s="12"/>
      <c r="AG36" s="12"/>
      <c r="AH36" s="17" t="s">
        <v>203</v>
      </c>
    </row>
    <row r="37" customFormat="false" ht="45.75" hidden="false" customHeight="true" outlineLevel="0" collapsed="false">
      <c r="A37" s="9" t="s">
        <v>204</v>
      </c>
      <c r="B37" s="11" t="s">
        <v>122</v>
      </c>
      <c r="C37" s="11" t="s">
        <v>53</v>
      </c>
      <c r="D37" s="11" t="s">
        <v>61</v>
      </c>
      <c r="E37" s="12" t="n">
        <v>12</v>
      </c>
      <c r="F37" s="12"/>
      <c r="G37" s="12" t="n">
        <v>15</v>
      </c>
      <c r="H37" s="12"/>
      <c r="I37" s="12"/>
      <c r="J37" s="12"/>
      <c r="K37" s="12"/>
      <c r="L37" s="12"/>
      <c r="M37" s="12" t="n">
        <v>12</v>
      </c>
      <c r="N37" s="12" t="s">
        <v>166</v>
      </c>
      <c r="O37" s="12" t="n">
        <v>15</v>
      </c>
      <c r="P37" s="12" t="s">
        <v>205</v>
      </c>
      <c r="Q37" s="12" t="n">
        <v>15</v>
      </c>
      <c r="R37" s="12" t="n">
        <v>8.3</v>
      </c>
      <c r="S37" s="12" t="s">
        <v>58</v>
      </c>
      <c r="T37" s="18"/>
      <c r="U37" s="18"/>
      <c r="V37" s="18"/>
      <c r="W37" s="12"/>
      <c r="X37" s="12"/>
      <c r="Y37" s="15" t="str">
        <f aca="false">IF(OR(W37="",X37=""),"",1.65*0.25*W37+0.125*SQRT(W37^2+X37^2))</f>
        <v/>
      </c>
      <c r="Z37" s="15" t="str">
        <f aca="false">IF(OR(W37="",X37=""),"",1.65*0.5*W37+0.25*SQRT(W37^2+X37^2))</f>
        <v/>
      </c>
      <c r="AA37" s="15" t="str">
        <f aca="false">IF(OR(W37="",X37=""),"",1.65*0.75*W37+0.375*SQRT(W37^2+X37^2))</f>
        <v/>
      </c>
      <c r="AB37" s="12"/>
      <c r="AC37" s="12" t="n">
        <v>30.7</v>
      </c>
      <c r="AD37" s="12"/>
      <c r="AE37" s="16"/>
      <c r="AF37" s="12"/>
      <c r="AG37" s="12"/>
      <c r="AH37" s="17" t="s">
        <v>206</v>
      </c>
    </row>
    <row r="38" customFormat="false" ht="34.5" hidden="false" customHeight="true" outlineLevel="0" collapsed="false">
      <c r="A38" s="9" t="s">
        <v>207</v>
      </c>
      <c r="B38" s="11" t="s">
        <v>122</v>
      </c>
      <c r="C38" s="11" t="s">
        <v>53</v>
      </c>
      <c r="D38" s="11" t="s">
        <v>170</v>
      </c>
      <c r="E38" s="12" t="n">
        <v>8</v>
      </c>
      <c r="F38" s="12"/>
      <c r="G38" s="12"/>
      <c r="H38" s="12"/>
      <c r="I38" s="12" t="n">
        <v>8</v>
      </c>
      <c r="J38" s="12" t="s">
        <v>208</v>
      </c>
      <c r="K38" s="12"/>
      <c r="L38" s="12"/>
      <c r="M38" s="12" t="n">
        <v>8</v>
      </c>
      <c r="N38" s="12" t="s">
        <v>209</v>
      </c>
      <c r="O38" s="12"/>
      <c r="P38" s="12"/>
      <c r="Q38" s="12"/>
      <c r="R38" s="12"/>
      <c r="S38" s="12"/>
      <c r="T38" s="18"/>
      <c r="U38" s="18"/>
      <c r="V38" s="18"/>
      <c r="W38" s="12"/>
      <c r="X38" s="12"/>
      <c r="Y38" s="15" t="str">
        <f aca="false">IF(OR(W38="",X38=""),"",1.65*0.25*W38+0.125*SQRT(W38^2+X38^2))</f>
        <v/>
      </c>
      <c r="Z38" s="15" t="str">
        <f aca="false">IF(OR(W38="",X38=""),"",1.65*0.5*W38+0.25*SQRT(W38^2+X38^2))</f>
        <v/>
      </c>
      <c r="AA38" s="15" t="str">
        <f aca="false">IF(OR(W38="",X38=""),"",1.65*0.75*W38+0.375*SQRT(W38^2+X38^2))</f>
        <v/>
      </c>
      <c r="AB38" s="12"/>
      <c r="AC38" s="12"/>
      <c r="AD38" s="12"/>
      <c r="AE38" s="16"/>
      <c r="AF38" s="12"/>
      <c r="AG38" s="12"/>
      <c r="AH38" s="17" t="s">
        <v>210</v>
      </c>
    </row>
    <row r="39" customFormat="false" ht="15" hidden="false" customHeight="true" outlineLevel="0" collapsed="false">
      <c r="A39" s="9" t="s">
        <v>211</v>
      </c>
      <c r="B39" s="11" t="s">
        <v>122</v>
      </c>
      <c r="C39" s="11" t="s">
        <v>53</v>
      </c>
      <c r="D39" s="11" t="s">
        <v>170</v>
      </c>
      <c r="E39" s="12" t="n">
        <v>15</v>
      </c>
      <c r="F39" s="12"/>
      <c r="G39" s="12" t="n">
        <v>20</v>
      </c>
      <c r="H39" s="12"/>
      <c r="I39" s="12" t="n">
        <v>12</v>
      </c>
      <c r="J39" s="12" t="s">
        <v>63</v>
      </c>
      <c r="K39" s="12"/>
      <c r="L39" s="12"/>
      <c r="M39" s="12"/>
      <c r="N39" s="12"/>
      <c r="O39" s="12" t="n">
        <v>20</v>
      </c>
      <c r="P39" s="12"/>
      <c r="Q39" s="12" t="n">
        <v>20</v>
      </c>
      <c r="R39" s="12" t="n">
        <v>10.6</v>
      </c>
      <c r="S39" s="12" t="s">
        <v>58</v>
      </c>
      <c r="T39" s="18"/>
      <c r="U39" s="18"/>
      <c r="V39" s="18"/>
      <c r="W39" s="12"/>
      <c r="X39" s="12"/>
      <c r="Y39" s="15" t="str">
        <f aca="false">IF(OR(W39="",X39=""),"",1.65*0.25*W39+0.125*SQRT(W39^2+X39^2))</f>
        <v/>
      </c>
      <c r="Z39" s="15" t="str">
        <f aca="false">IF(OR(W39="",X39=""),"",1.65*0.5*W39+0.25*SQRT(W39^2+X39^2))</f>
        <v/>
      </c>
      <c r="AA39" s="15" t="str">
        <f aca="false">IF(OR(W39="",X39=""),"",1.65*0.75*W39+0.375*SQRT(W39^2+X39^2))</f>
        <v/>
      </c>
      <c r="AB39" s="12"/>
      <c r="AC39" s="12" t="n">
        <v>13.5</v>
      </c>
      <c r="AD39" s="12"/>
      <c r="AE39" s="16"/>
      <c r="AF39" s="12"/>
      <c r="AG39" s="12"/>
      <c r="AH39" s="17"/>
    </row>
    <row r="40" customFormat="false" ht="15" hidden="false" customHeight="true" outlineLevel="0" collapsed="false">
      <c r="A40" s="9" t="s">
        <v>212</v>
      </c>
      <c r="B40" s="11" t="s">
        <v>122</v>
      </c>
      <c r="C40" s="11" t="s">
        <v>53</v>
      </c>
      <c r="D40" s="11" t="s">
        <v>170</v>
      </c>
      <c r="E40" s="12" t="n">
        <v>8</v>
      </c>
      <c r="F40" s="12"/>
      <c r="G40" s="12" t="n">
        <v>20</v>
      </c>
      <c r="H40" s="12"/>
      <c r="I40" s="12" t="n">
        <v>10</v>
      </c>
      <c r="J40" s="12" t="s">
        <v>144</v>
      </c>
      <c r="K40" s="12"/>
      <c r="L40" s="12"/>
      <c r="M40" s="12"/>
      <c r="N40" s="12"/>
      <c r="O40" s="12" t="n">
        <v>20</v>
      </c>
      <c r="P40" s="12"/>
      <c r="Q40" s="12" t="n">
        <v>18</v>
      </c>
      <c r="R40" s="12" t="n">
        <v>9.3</v>
      </c>
      <c r="S40" s="12" t="s">
        <v>58</v>
      </c>
      <c r="T40" s="18"/>
      <c r="U40" s="18"/>
      <c r="V40" s="18"/>
      <c r="W40" s="12"/>
      <c r="X40" s="12"/>
      <c r="Y40" s="15" t="str">
        <f aca="false">IF(OR(W40="",X40=""),"",1.65*0.25*W40+0.125*SQRT(W40^2+X40^2))</f>
        <v/>
      </c>
      <c r="Z40" s="15" t="str">
        <f aca="false">IF(OR(W40="",X40=""),"",1.65*0.5*W40+0.25*SQRT(W40^2+X40^2))</f>
        <v/>
      </c>
      <c r="AA40" s="15" t="str">
        <f aca="false">IF(OR(W40="",X40=""),"",1.65*0.75*W40+0.375*SQRT(W40^2+X40^2))</f>
        <v/>
      </c>
      <c r="AB40" s="12"/>
      <c r="AC40" s="12" t="n">
        <v>8</v>
      </c>
      <c r="AD40" s="12"/>
      <c r="AE40" s="16"/>
      <c r="AF40" s="12"/>
      <c r="AG40" s="12"/>
      <c r="AH40" s="17"/>
    </row>
    <row r="41" customFormat="false" ht="15" hidden="false" customHeight="true" outlineLevel="0" collapsed="false">
      <c r="A41" s="9" t="s">
        <v>213</v>
      </c>
      <c r="B41" s="11" t="s">
        <v>122</v>
      </c>
      <c r="C41" s="11" t="s">
        <v>53</v>
      </c>
      <c r="D41" s="11" t="s">
        <v>170</v>
      </c>
      <c r="E41" s="12" t="n">
        <v>15</v>
      </c>
      <c r="F41" s="12"/>
      <c r="G41" s="12" t="n">
        <v>20</v>
      </c>
      <c r="H41" s="12"/>
      <c r="I41" s="12" t="n">
        <v>13</v>
      </c>
      <c r="J41" s="12" t="s">
        <v>214</v>
      </c>
      <c r="K41" s="12"/>
      <c r="L41" s="12"/>
      <c r="M41" s="12"/>
      <c r="N41" s="12"/>
      <c r="O41" s="12" t="n">
        <v>25</v>
      </c>
      <c r="P41" s="12"/>
      <c r="Q41" s="12" t="n">
        <v>21</v>
      </c>
      <c r="R41" s="12" t="n">
        <v>12.2</v>
      </c>
      <c r="S41" s="12" t="s">
        <v>58</v>
      </c>
      <c r="T41" s="18"/>
      <c r="U41" s="18"/>
      <c r="V41" s="18"/>
      <c r="W41" s="12"/>
      <c r="X41" s="12"/>
      <c r="Y41" s="15" t="str">
        <f aca="false">IF(OR(W41="",X41=""),"",1.65*0.25*W41+0.125*SQRT(W41^2+X41^2))</f>
        <v/>
      </c>
      <c r="Z41" s="15" t="str">
        <f aca="false">IF(OR(W41="",X41=""),"",1.65*0.5*W41+0.25*SQRT(W41^2+X41^2))</f>
        <v/>
      </c>
      <c r="AA41" s="15" t="str">
        <f aca="false">IF(OR(W41="",X41=""),"",1.65*0.75*W41+0.375*SQRT(W41^2+X41^2))</f>
        <v/>
      </c>
      <c r="AB41" s="12"/>
      <c r="AC41" s="12" t="n">
        <v>16.8</v>
      </c>
      <c r="AD41" s="12"/>
      <c r="AE41" s="16"/>
      <c r="AF41" s="12"/>
      <c r="AG41" s="12"/>
      <c r="AH41" s="17"/>
    </row>
    <row r="42" customFormat="false" ht="15" hidden="false" customHeight="true" outlineLevel="0" collapsed="false">
      <c r="A42" s="9" t="s">
        <v>215</v>
      </c>
      <c r="B42" s="11" t="s">
        <v>122</v>
      </c>
      <c r="C42" s="11" t="s">
        <v>53</v>
      </c>
      <c r="D42" s="11" t="s">
        <v>216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8"/>
      <c r="U42" s="18"/>
      <c r="V42" s="18"/>
      <c r="W42" s="12"/>
      <c r="X42" s="12"/>
      <c r="Y42" s="15" t="str">
        <f aca="false">IF(OR(W42="",X42=""),"",1.65*0.25*W42+0.125*SQRT(W42^2+X42^2))</f>
        <v/>
      </c>
      <c r="Z42" s="15" t="str">
        <f aca="false">IF(OR(W42="",X42=""),"",1.65*0.5*W42+0.25*SQRT(W42^2+X42^2))</f>
        <v/>
      </c>
      <c r="AA42" s="15" t="str">
        <f aca="false">IF(OR(W42="",X42=""),"",1.65*0.75*W42+0.375*SQRT(W42^2+X42^2))</f>
        <v/>
      </c>
      <c r="AB42" s="12"/>
      <c r="AC42" s="12"/>
      <c r="AD42" s="12"/>
      <c r="AE42" s="16"/>
      <c r="AF42" s="12"/>
      <c r="AG42" s="12"/>
      <c r="AH42" s="17"/>
    </row>
    <row r="43" customFormat="false" ht="34.5" hidden="false" customHeight="true" outlineLevel="0" collapsed="false">
      <c r="A43" s="9" t="s">
        <v>217</v>
      </c>
      <c r="B43" s="11" t="s">
        <v>122</v>
      </c>
      <c r="C43" s="11" t="s">
        <v>53</v>
      </c>
      <c r="D43" s="11" t="s">
        <v>54</v>
      </c>
      <c r="E43" s="12"/>
      <c r="F43" s="12"/>
      <c r="G43" s="12" t="n">
        <v>20</v>
      </c>
      <c r="H43" s="12" t="s">
        <v>218</v>
      </c>
      <c r="I43" s="12"/>
      <c r="J43" s="12"/>
      <c r="K43" s="12"/>
      <c r="L43" s="12"/>
      <c r="M43" s="12" t="n">
        <v>10</v>
      </c>
      <c r="N43" s="12" t="s">
        <v>219</v>
      </c>
      <c r="O43" s="12"/>
      <c r="P43" s="12"/>
      <c r="Q43" s="12"/>
      <c r="R43" s="12"/>
      <c r="S43" s="12"/>
      <c r="T43" s="18"/>
      <c r="U43" s="18"/>
      <c r="V43" s="18"/>
      <c r="W43" s="12"/>
      <c r="X43" s="12"/>
      <c r="Y43" s="15" t="str">
        <f aca="false">IF(OR(W43="",X43=""),"",1.65*0.25*W43+0.125*SQRT(W43^2+X43^2))</f>
        <v/>
      </c>
      <c r="Z43" s="15" t="str">
        <f aca="false">IF(OR(W43="",X43=""),"",1.65*0.5*W43+0.25*SQRT(W43^2+X43^2))</f>
        <v/>
      </c>
      <c r="AA43" s="15" t="str">
        <f aca="false">IF(OR(W43="",X43=""),"",1.65*0.75*W43+0.375*SQRT(W43^2+X43^2))</f>
        <v/>
      </c>
      <c r="AB43" s="12"/>
      <c r="AC43" s="12"/>
      <c r="AD43" s="12"/>
      <c r="AE43" s="16"/>
      <c r="AF43" s="12"/>
      <c r="AG43" s="12"/>
      <c r="AH43" s="17" t="s">
        <v>101</v>
      </c>
    </row>
    <row r="44" customFormat="false" ht="15" hidden="false" customHeight="true" outlineLevel="0" collapsed="false">
      <c r="A44" s="9" t="s">
        <v>220</v>
      </c>
      <c r="B44" s="11" t="s">
        <v>122</v>
      </c>
      <c r="C44" s="11" t="s">
        <v>53</v>
      </c>
      <c r="D44" s="11" t="s">
        <v>61</v>
      </c>
      <c r="E44" s="12"/>
      <c r="F44" s="12"/>
      <c r="G44" s="12"/>
      <c r="H44" s="12"/>
      <c r="I44" s="12"/>
      <c r="J44" s="12"/>
      <c r="K44" s="12"/>
      <c r="L44" s="12"/>
      <c r="M44" s="12" t="n">
        <v>10</v>
      </c>
      <c r="N44" s="12" t="s">
        <v>221</v>
      </c>
      <c r="O44" s="12"/>
      <c r="P44" s="12"/>
      <c r="Q44" s="12"/>
      <c r="R44" s="12"/>
      <c r="S44" s="12"/>
      <c r="T44" s="18"/>
      <c r="U44" s="18"/>
      <c r="V44" s="18"/>
      <c r="W44" s="12"/>
      <c r="X44" s="12"/>
      <c r="Y44" s="15" t="str">
        <f aca="false">IF(OR(W44="",X44=""),"",1.65*0.25*W44+0.125*SQRT(W44^2+X44^2))</f>
        <v/>
      </c>
      <c r="Z44" s="15" t="str">
        <f aca="false">IF(OR(W44="",X44=""),"",1.65*0.5*W44+0.25*SQRT(W44^2+X44^2))</f>
        <v/>
      </c>
      <c r="AA44" s="15" t="str">
        <f aca="false">IF(OR(W44="",X44=""),"",1.65*0.75*W44+0.375*SQRT(W44^2+X44^2))</f>
        <v/>
      </c>
      <c r="AB44" s="12"/>
      <c r="AC44" s="12"/>
      <c r="AD44" s="12"/>
      <c r="AE44" s="16"/>
      <c r="AF44" s="12"/>
      <c r="AG44" s="12"/>
      <c r="AH44" s="17"/>
    </row>
    <row r="45" customFormat="false" ht="57" hidden="false" customHeight="true" outlineLevel="0" collapsed="false">
      <c r="A45" s="9" t="s">
        <v>222</v>
      </c>
      <c r="B45" s="11" t="s">
        <v>122</v>
      </c>
      <c r="C45" s="11" t="s">
        <v>53</v>
      </c>
      <c r="D45" s="11" t="s">
        <v>54</v>
      </c>
      <c r="E45" s="12"/>
      <c r="F45" s="12"/>
      <c r="G45" s="12" t="n">
        <v>20</v>
      </c>
      <c r="H45" s="12" t="s">
        <v>223</v>
      </c>
      <c r="I45" s="12" t="n">
        <v>9</v>
      </c>
      <c r="J45" s="12" t="s">
        <v>208</v>
      </c>
      <c r="K45" s="12"/>
      <c r="L45" s="12"/>
      <c r="M45" s="12" t="n">
        <v>10</v>
      </c>
      <c r="N45" s="12" t="s">
        <v>219</v>
      </c>
      <c r="O45" s="12"/>
      <c r="P45" s="12"/>
      <c r="Q45" s="12"/>
      <c r="R45" s="12"/>
      <c r="S45" s="12"/>
      <c r="T45" s="18"/>
      <c r="U45" s="18"/>
      <c r="V45" s="18"/>
      <c r="W45" s="12"/>
      <c r="X45" s="12"/>
      <c r="Y45" s="15" t="str">
        <f aca="false">IF(OR(W45="",X45=""),"",1.65*0.25*W45+0.125*SQRT(W45^2+X45^2))</f>
        <v/>
      </c>
      <c r="Z45" s="15" t="str">
        <f aca="false">IF(OR(W45="",X45=""),"",1.65*0.5*W45+0.25*SQRT(W45^2+X45^2))</f>
        <v/>
      </c>
      <c r="AA45" s="15" t="str">
        <f aca="false">IF(OR(W45="",X45=""),"",1.65*0.75*W45+0.375*SQRT(W45^2+X45^2))</f>
        <v/>
      </c>
      <c r="AB45" s="12"/>
      <c r="AC45" s="12"/>
      <c r="AD45" s="12"/>
      <c r="AE45" s="16"/>
      <c r="AF45" s="12"/>
      <c r="AG45" s="12"/>
      <c r="AH45" s="17" t="s">
        <v>224</v>
      </c>
    </row>
    <row r="46" customFormat="false" ht="34.5" hidden="false" customHeight="true" outlineLevel="0" collapsed="false">
      <c r="A46" s="9" t="s">
        <v>225</v>
      </c>
      <c r="B46" s="11" t="s">
        <v>122</v>
      </c>
      <c r="C46" s="11" t="s">
        <v>53</v>
      </c>
      <c r="D46" s="11" t="s">
        <v>61</v>
      </c>
      <c r="E46" s="12"/>
      <c r="F46" s="12"/>
      <c r="G46" s="12"/>
      <c r="H46" s="12"/>
      <c r="I46" s="12"/>
      <c r="J46" s="12"/>
      <c r="K46" s="12"/>
      <c r="L46" s="12"/>
      <c r="M46" s="12" t="n">
        <v>10</v>
      </c>
      <c r="N46" s="12" t="s">
        <v>226</v>
      </c>
      <c r="O46" s="12"/>
      <c r="P46" s="12"/>
      <c r="Q46" s="12"/>
      <c r="R46" s="12"/>
      <c r="S46" s="12"/>
      <c r="T46" s="18"/>
      <c r="U46" s="18"/>
      <c r="V46" s="18"/>
      <c r="W46" s="12"/>
      <c r="X46" s="12"/>
      <c r="Y46" s="15" t="str">
        <f aca="false">IF(OR(W46="",X46=""),"",1.65*0.25*W46+0.125*SQRT(W46^2+X46^2))</f>
        <v/>
      </c>
      <c r="Z46" s="15" t="str">
        <f aca="false">IF(OR(W46="",X46=""),"",1.65*0.5*W46+0.25*SQRT(W46^2+X46^2))</f>
        <v/>
      </c>
      <c r="AA46" s="15" t="str">
        <f aca="false">IF(OR(W46="",X46=""),"",1.65*0.75*W46+0.375*SQRT(W46^2+X46^2))</f>
        <v/>
      </c>
      <c r="AB46" s="12"/>
      <c r="AC46" s="12"/>
      <c r="AD46" s="12"/>
      <c r="AE46" s="16"/>
      <c r="AF46" s="12"/>
      <c r="AG46" s="12"/>
      <c r="AH46" s="17" t="s">
        <v>227</v>
      </c>
    </row>
    <row r="47" customFormat="false" ht="34.5" hidden="false" customHeight="true" outlineLevel="0" collapsed="false">
      <c r="A47" s="9" t="s">
        <v>228</v>
      </c>
      <c r="B47" s="11" t="s">
        <v>122</v>
      </c>
      <c r="C47" s="11" t="s">
        <v>53</v>
      </c>
      <c r="D47" s="11" t="s">
        <v>54</v>
      </c>
      <c r="E47" s="12"/>
      <c r="F47" s="12"/>
      <c r="G47" s="12" t="n">
        <v>15</v>
      </c>
      <c r="H47" s="12" t="s">
        <v>229</v>
      </c>
      <c r="I47" s="12" t="n">
        <v>6</v>
      </c>
      <c r="J47" s="12" t="s">
        <v>208</v>
      </c>
      <c r="K47" s="12"/>
      <c r="L47" s="12"/>
      <c r="M47" s="12" t="n">
        <v>10</v>
      </c>
      <c r="N47" s="12" t="s">
        <v>230</v>
      </c>
      <c r="O47" s="12"/>
      <c r="P47" s="12"/>
      <c r="Q47" s="12" t="n">
        <v>12</v>
      </c>
      <c r="R47" s="12"/>
      <c r="S47" s="12"/>
      <c r="T47" s="18"/>
      <c r="U47" s="18"/>
      <c r="V47" s="18"/>
      <c r="W47" s="12"/>
      <c r="X47" s="12"/>
      <c r="Y47" s="15" t="str">
        <f aca="false">IF(OR(W47="",X47=""),"",1.65*0.25*W47+0.125*SQRT(W47^2+X47^2))</f>
        <v/>
      </c>
      <c r="Z47" s="15" t="str">
        <f aca="false">IF(OR(W47="",X47=""),"",1.65*0.5*W47+0.25*SQRT(W47^2+X47^2))</f>
        <v/>
      </c>
      <c r="AA47" s="15" t="str">
        <f aca="false">IF(OR(W47="",X47=""),"",1.65*0.75*W47+0.375*SQRT(W47^2+X47^2))</f>
        <v/>
      </c>
      <c r="AB47" s="12"/>
      <c r="AC47" s="12"/>
      <c r="AD47" s="12"/>
      <c r="AE47" s="16"/>
      <c r="AF47" s="12"/>
      <c r="AG47" s="12"/>
      <c r="AH47" s="17" t="s">
        <v>231</v>
      </c>
    </row>
    <row r="48" customFormat="false" ht="34.5" hidden="false" customHeight="true" outlineLevel="0" collapsed="false">
      <c r="A48" s="9" t="s">
        <v>232</v>
      </c>
      <c r="B48" s="11" t="s">
        <v>122</v>
      </c>
      <c r="C48" s="11" t="s">
        <v>53</v>
      </c>
      <c r="D48" s="11" t="s">
        <v>187</v>
      </c>
      <c r="E48" s="12"/>
      <c r="F48" s="12"/>
      <c r="G48" s="12" t="n">
        <v>25</v>
      </c>
      <c r="H48" s="12"/>
      <c r="I48" s="12" t="n">
        <v>25</v>
      </c>
      <c r="J48" s="12" t="s">
        <v>117</v>
      </c>
      <c r="K48" s="12"/>
      <c r="L48" s="12"/>
      <c r="M48" s="12" t="n">
        <v>10</v>
      </c>
      <c r="N48" s="12" t="s">
        <v>233</v>
      </c>
      <c r="O48" s="12"/>
      <c r="P48" s="12"/>
      <c r="Q48" s="12"/>
      <c r="R48" s="12"/>
      <c r="S48" s="12"/>
      <c r="T48" s="18"/>
      <c r="U48" s="18"/>
      <c r="V48" s="18"/>
      <c r="W48" s="12"/>
      <c r="X48" s="12"/>
      <c r="Y48" s="15" t="str">
        <f aca="false">IF(OR(W48="",X48=""),"",1.65*0.25*W48+0.125*SQRT(W48^2+X48^2))</f>
        <v/>
      </c>
      <c r="Z48" s="15" t="str">
        <f aca="false">IF(OR(W48="",X48=""),"",1.65*0.5*W48+0.25*SQRT(W48^2+X48^2))</f>
        <v/>
      </c>
      <c r="AA48" s="15" t="str">
        <f aca="false">IF(OR(W48="",X48=""),"",1.65*0.75*W48+0.375*SQRT(W48^2+X48^2))</f>
        <v/>
      </c>
      <c r="AB48" s="12"/>
      <c r="AC48" s="12"/>
      <c r="AD48" s="12"/>
      <c r="AE48" s="16"/>
      <c r="AF48" s="12"/>
      <c r="AG48" s="12"/>
      <c r="AH48" s="17" t="s">
        <v>234</v>
      </c>
    </row>
    <row r="49" customFormat="false" ht="34.5" hidden="false" customHeight="true" outlineLevel="0" collapsed="false">
      <c r="A49" s="9" t="s">
        <v>235</v>
      </c>
      <c r="B49" s="11" t="s">
        <v>122</v>
      </c>
      <c r="C49" s="11" t="s">
        <v>53</v>
      </c>
      <c r="D49" s="11" t="s">
        <v>187</v>
      </c>
      <c r="E49" s="12"/>
      <c r="F49" s="12"/>
      <c r="G49" s="12" t="n">
        <v>15</v>
      </c>
      <c r="H49" s="12" t="s">
        <v>236</v>
      </c>
      <c r="I49" s="12" t="n">
        <v>12</v>
      </c>
      <c r="J49" s="12" t="s">
        <v>144</v>
      </c>
      <c r="K49" s="12"/>
      <c r="L49" s="12"/>
      <c r="M49" s="12" t="n">
        <v>10</v>
      </c>
      <c r="N49" s="12" t="s">
        <v>237</v>
      </c>
      <c r="O49" s="12"/>
      <c r="P49" s="12"/>
      <c r="Q49" s="12"/>
      <c r="R49" s="12"/>
      <c r="S49" s="12"/>
      <c r="T49" s="18"/>
      <c r="U49" s="18"/>
      <c r="V49" s="18"/>
      <c r="W49" s="12"/>
      <c r="X49" s="12"/>
      <c r="Y49" s="15" t="str">
        <f aca="false">IF(OR(W49="",X49=""),"",1.65*0.25*W49+0.125*SQRT(W49^2+X49^2))</f>
        <v/>
      </c>
      <c r="Z49" s="15" t="str">
        <f aca="false">IF(OR(W49="",X49=""),"",1.65*0.5*W49+0.25*SQRT(W49^2+X49^2))</f>
        <v/>
      </c>
      <c r="AA49" s="15" t="str">
        <f aca="false">IF(OR(W49="",X49=""),"",1.65*0.75*W49+0.375*SQRT(W49^2+X49^2))</f>
        <v/>
      </c>
      <c r="AB49" s="12"/>
      <c r="AC49" s="12"/>
      <c r="AD49" s="12"/>
      <c r="AE49" s="16"/>
      <c r="AF49" s="12"/>
      <c r="AG49" s="12"/>
      <c r="AH49" s="17" t="s">
        <v>238</v>
      </c>
    </row>
    <row r="50" customFormat="false" ht="34.5" hidden="false" customHeight="true" outlineLevel="0" collapsed="false">
      <c r="A50" s="9" t="s">
        <v>239</v>
      </c>
      <c r="B50" s="11" t="s">
        <v>122</v>
      </c>
      <c r="C50" s="11" t="s">
        <v>53</v>
      </c>
      <c r="D50" s="11" t="s">
        <v>61</v>
      </c>
      <c r="E50" s="12"/>
      <c r="F50" s="12"/>
      <c r="G50" s="12" t="n">
        <v>20</v>
      </c>
      <c r="H50" s="12"/>
      <c r="I50" s="12" t="n">
        <v>11.5</v>
      </c>
      <c r="J50" s="12" t="s">
        <v>63</v>
      </c>
      <c r="K50" s="12"/>
      <c r="L50" s="12"/>
      <c r="M50" s="12" t="n">
        <v>10</v>
      </c>
      <c r="N50" s="12" t="s">
        <v>240</v>
      </c>
      <c r="O50" s="12"/>
      <c r="P50" s="12"/>
      <c r="Q50" s="12"/>
      <c r="R50" s="12"/>
      <c r="S50" s="12"/>
      <c r="T50" s="18"/>
      <c r="U50" s="18"/>
      <c r="V50" s="18"/>
      <c r="W50" s="12"/>
      <c r="X50" s="12"/>
      <c r="Y50" s="15" t="str">
        <f aca="false">IF(OR(W50="",X50=""),"",1.65*0.25*W50+0.125*SQRT(W50^2+X50^2))</f>
        <v/>
      </c>
      <c r="Z50" s="15" t="str">
        <f aca="false">IF(OR(W50="",X50=""),"",1.65*0.5*W50+0.25*SQRT(W50^2+X50^2))</f>
        <v/>
      </c>
      <c r="AA50" s="15" t="str">
        <f aca="false">IF(OR(W50="",X50=""),"",1.65*0.75*W50+0.375*SQRT(W50^2+X50^2))</f>
        <v/>
      </c>
      <c r="AB50" s="12"/>
      <c r="AC50" s="12"/>
      <c r="AD50" s="12"/>
      <c r="AE50" s="16"/>
      <c r="AF50" s="12"/>
      <c r="AG50" s="12"/>
      <c r="AH50" s="17" t="s">
        <v>241</v>
      </c>
    </row>
    <row r="51" customFormat="false" ht="34.5" hidden="false" customHeight="true" outlineLevel="0" collapsed="false">
      <c r="A51" s="9" t="s">
        <v>242</v>
      </c>
      <c r="B51" s="11" t="s">
        <v>122</v>
      </c>
      <c r="C51" s="11" t="s">
        <v>53</v>
      </c>
      <c r="D51" s="11" t="s">
        <v>61</v>
      </c>
      <c r="E51" s="12"/>
      <c r="F51" s="12"/>
      <c r="G51" s="12" t="n">
        <v>20</v>
      </c>
      <c r="H51" s="12" t="s">
        <v>243</v>
      </c>
      <c r="I51" s="12" t="n">
        <v>12</v>
      </c>
      <c r="J51" s="12" t="s">
        <v>63</v>
      </c>
      <c r="K51" s="12"/>
      <c r="L51" s="12"/>
      <c r="M51" s="12" t="n">
        <v>10</v>
      </c>
      <c r="N51" s="12" t="s">
        <v>244</v>
      </c>
      <c r="O51" s="12"/>
      <c r="P51" s="12"/>
      <c r="Q51" s="12"/>
      <c r="R51" s="12"/>
      <c r="S51" s="12"/>
      <c r="T51" s="18"/>
      <c r="U51" s="18"/>
      <c r="V51" s="18"/>
      <c r="W51" s="12"/>
      <c r="X51" s="12"/>
      <c r="Y51" s="15" t="str">
        <f aca="false">IF(OR(W51="",X51=""),"",1.65*0.25*W51+0.125*SQRT(W51^2+X51^2))</f>
        <v/>
      </c>
      <c r="Z51" s="15" t="str">
        <f aca="false">IF(OR(W51="",X51=""),"",1.65*0.5*W51+0.25*SQRT(W51^2+X51^2))</f>
        <v/>
      </c>
      <c r="AA51" s="15" t="str">
        <f aca="false">IF(OR(W51="",X51=""),"",1.65*0.75*W51+0.375*SQRT(W51^2+X51^2))</f>
        <v/>
      </c>
      <c r="AB51" s="12"/>
      <c r="AC51" s="12"/>
      <c r="AD51" s="12"/>
      <c r="AE51" s="16"/>
      <c r="AF51" s="12"/>
      <c r="AG51" s="12"/>
      <c r="AH51" s="17" t="s">
        <v>245</v>
      </c>
    </row>
    <row r="52" customFormat="false" ht="34.5" hidden="false" customHeight="true" outlineLevel="0" collapsed="false">
      <c r="A52" s="9" t="s">
        <v>246</v>
      </c>
      <c r="B52" s="11" t="s">
        <v>122</v>
      </c>
      <c r="C52" s="11" t="s">
        <v>53</v>
      </c>
      <c r="D52" s="11" t="s">
        <v>61</v>
      </c>
      <c r="E52" s="12"/>
      <c r="F52" s="12"/>
      <c r="G52" s="12" t="n">
        <v>15</v>
      </c>
      <c r="H52" s="12" t="s">
        <v>247</v>
      </c>
      <c r="I52" s="12"/>
      <c r="J52" s="12"/>
      <c r="K52" s="12"/>
      <c r="L52" s="12"/>
      <c r="M52" s="12" t="n">
        <v>10</v>
      </c>
      <c r="N52" s="12" t="s">
        <v>248</v>
      </c>
      <c r="O52" s="12"/>
      <c r="P52" s="12"/>
      <c r="Q52" s="12"/>
      <c r="R52" s="12"/>
      <c r="S52" s="12"/>
      <c r="T52" s="18"/>
      <c r="U52" s="18"/>
      <c r="V52" s="18"/>
      <c r="W52" s="12"/>
      <c r="X52" s="12"/>
      <c r="Y52" s="15" t="str">
        <f aca="false">IF(OR(W52="",X52=""),"",1.65*0.25*W52+0.125*SQRT(W52^2+X52^2))</f>
        <v/>
      </c>
      <c r="Z52" s="15" t="str">
        <f aca="false">IF(OR(W52="",X52=""),"",1.65*0.5*W52+0.25*SQRT(W52^2+X52^2))</f>
        <v/>
      </c>
      <c r="AA52" s="15" t="str">
        <f aca="false">IF(OR(W52="",X52=""),"",1.65*0.75*W52+0.375*SQRT(W52^2+X52^2))</f>
        <v/>
      </c>
      <c r="AB52" s="12"/>
      <c r="AC52" s="12"/>
      <c r="AD52" s="12"/>
      <c r="AE52" s="16"/>
      <c r="AF52" s="12"/>
      <c r="AG52" s="12"/>
      <c r="AH52" s="17" t="s">
        <v>249</v>
      </c>
    </row>
    <row r="53" customFormat="false" ht="15" hidden="false" customHeight="true" outlineLevel="0" collapsed="false">
      <c r="A53" s="9" t="s">
        <v>250</v>
      </c>
      <c r="B53" s="11" t="s">
        <v>122</v>
      </c>
      <c r="C53" s="11" t="s">
        <v>89</v>
      </c>
      <c r="D53" s="11" t="s">
        <v>251</v>
      </c>
      <c r="E53" s="12"/>
      <c r="F53" s="12"/>
      <c r="G53" s="12" t="n">
        <v>15</v>
      </c>
      <c r="H53" s="12" t="s">
        <v>252</v>
      </c>
      <c r="I53" s="12" t="n">
        <v>13</v>
      </c>
      <c r="J53" s="12" t="s">
        <v>63</v>
      </c>
      <c r="K53" s="12"/>
      <c r="L53" s="12"/>
      <c r="M53" s="12" t="n">
        <v>12</v>
      </c>
      <c r="N53" s="12" t="s">
        <v>253</v>
      </c>
      <c r="O53" s="12" t="n">
        <v>20</v>
      </c>
      <c r="P53" s="12" t="s">
        <v>254</v>
      </c>
      <c r="Q53" s="12" t="n">
        <v>13</v>
      </c>
      <c r="R53" s="12"/>
      <c r="S53" s="12"/>
      <c r="T53" s="13" t="n">
        <v>20</v>
      </c>
      <c r="U53" s="14" t="s">
        <v>255</v>
      </c>
      <c r="V53" s="13" t="n">
        <v>10</v>
      </c>
      <c r="W53" s="12"/>
      <c r="X53" s="12"/>
      <c r="Y53" s="15" t="str">
        <f aca="false">IF(OR(W53="",X53=""),"",1.65*0.25*W53+0.125*SQRT(W53^2+X53^2))</f>
        <v/>
      </c>
      <c r="Z53" s="15" t="str">
        <f aca="false">IF(OR(W53="",X53=""),"",1.65*0.5*W53+0.25*SQRT(W53^2+X53^2))</f>
        <v/>
      </c>
      <c r="AA53" s="15" t="str">
        <f aca="false">IF(OR(W53="",X53=""),"",1.65*0.75*W53+0.375*SQRT(W53^2+X53^2))</f>
        <v/>
      </c>
      <c r="AB53" s="12"/>
      <c r="AC53" s="12" t="n">
        <v>8</v>
      </c>
      <c r="AD53" s="12"/>
      <c r="AE53" s="16"/>
      <c r="AF53" s="12"/>
      <c r="AG53" s="12"/>
      <c r="AH53" s="17"/>
    </row>
    <row r="54" customFormat="false" ht="15" hidden="false" customHeight="true" outlineLevel="0" collapsed="false">
      <c r="A54" s="9" t="s">
        <v>256</v>
      </c>
      <c r="B54" s="11" t="s">
        <v>122</v>
      </c>
      <c r="C54" s="11" t="s">
        <v>89</v>
      </c>
      <c r="D54" s="11" t="s">
        <v>251</v>
      </c>
      <c r="E54" s="12"/>
      <c r="F54" s="12"/>
      <c r="G54" s="12"/>
      <c r="H54" s="12"/>
      <c r="I54" s="12" t="n">
        <v>13</v>
      </c>
      <c r="J54" s="12" t="s">
        <v>63</v>
      </c>
      <c r="K54" s="12"/>
      <c r="L54" s="12"/>
      <c r="M54" s="12" t="n">
        <v>20</v>
      </c>
      <c r="N54" s="12" t="s">
        <v>257</v>
      </c>
      <c r="O54" s="12" t="n">
        <v>20</v>
      </c>
      <c r="P54" s="12" t="s">
        <v>258</v>
      </c>
      <c r="Q54" s="12"/>
      <c r="R54" s="12"/>
      <c r="S54" s="12"/>
      <c r="T54" s="18"/>
      <c r="U54" s="18"/>
      <c r="V54" s="18"/>
      <c r="W54" s="12"/>
      <c r="X54" s="12"/>
      <c r="Y54" s="15" t="str">
        <f aca="false">IF(OR(W54="",X54=""),"",1.65*0.25*W54+0.125*SQRT(W54^2+X54^2))</f>
        <v/>
      </c>
      <c r="Z54" s="15" t="str">
        <f aca="false">IF(OR(W54="",X54=""),"",1.65*0.5*W54+0.25*SQRT(W54^2+X54^2))</f>
        <v/>
      </c>
      <c r="AA54" s="15" t="str">
        <f aca="false">IF(OR(W54="",X54=""),"",1.65*0.75*W54+0.375*SQRT(W54^2+X54^2))</f>
        <v/>
      </c>
      <c r="AB54" s="12"/>
      <c r="AC54" s="12"/>
      <c r="AD54" s="12"/>
      <c r="AE54" s="16"/>
      <c r="AF54" s="12"/>
      <c r="AG54" s="12"/>
      <c r="AH54" s="17"/>
    </row>
    <row r="55" customFormat="false" ht="15" hidden="false" customHeight="true" outlineLevel="0" collapsed="false">
      <c r="A55" s="9" t="s">
        <v>259</v>
      </c>
      <c r="B55" s="11" t="s">
        <v>122</v>
      </c>
      <c r="C55" s="11" t="s">
        <v>89</v>
      </c>
      <c r="D55" s="11" t="s">
        <v>97</v>
      </c>
      <c r="E55" s="12"/>
      <c r="F55" s="12"/>
      <c r="G55" s="12" t="n">
        <v>30</v>
      </c>
      <c r="H55" s="12"/>
      <c r="I55" s="12" t="n">
        <v>15</v>
      </c>
      <c r="J55" s="12" t="s">
        <v>117</v>
      </c>
      <c r="K55" s="12"/>
      <c r="L55" s="12"/>
      <c r="M55" s="12" t="n">
        <v>20</v>
      </c>
      <c r="N55" s="12" t="s">
        <v>260</v>
      </c>
      <c r="O55" s="12"/>
      <c r="P55" s="12"/>
      <c r="Q55" s="12"/>
      <c r="R55" s="12"/>
      <c r="S55" s="12"/>
      <c r="T55" s="18"/>
      <c r="U55" s="18"/>
      <c r="V55" s="18"/>
      <c r="W55" s="12"/>
      <c r="X55" s="12"/>
      <c r="Y55" s="15" t="str">
        <f aca="false">IF(OR(W55="",X55=""),"",1.65*0.25*W55+0.125*SQRT(W55^2+X55^2))</f>
        <v/>
      </c>
      <c r="Z55" s="15" t="str">
        <f aca="false">IF(OR(W55="",X55=""),"",1.65*0.5*W55+0.25*SQRT(W55^2+X55^2))</f>
        <v/>
      </c>
      <c r="AA55" s="15" t="str">
        <f aca="false">IF(OR(W55="",X55=""),"",1.65*0.75*W55+0.375*SQRT(W55^2+X55^2))</f>
        <v/>
      </c>
      <c r="AB55" s="12"/>
      <c r="AC55" s="12"/>
      <c r="AD55" s="12"/>
      <c r="AE55" s="16"/>
      <c r="AF55" s="12"/>
      <c r="AG55" s="12"/>
      <c r="AH55" s="17"/>
    </row>
    <row r="56" customFormat="false" ht="34.5" hidden="false" customHeight="true" outlineLevel="0" collapsed="false">
      <c r="A56" s="9" t="s">
        <v>261</v>
      </c>
      <c r="B56" s="11" t="s">
        <v>122</v>
      </c>
      <c r="C56" s="11" t="s">
        <v>89</v>
      </c>
      <c r="D56" s="11" t="s">
        <v>251</v>
      </c>
      <c r="E56" s="12"/>
      <c r="F56" s="12"/>
      <c r="G56" s="12" t="n">
        <v>30</v>
      </c>
      <c r="H56" s="12"/>
      <c r="I56" s="12"/>
      <c r="J56" s="12"/>
      <c r="K56" s="12"/>
      <c r="L56" s="12"/>
      <c r="M56" s="12" t="n">
        <v>12</v>
      </c>
      <c r="N56" s="12" t="s">
        <v>262</v>
      </c>
      <c r="O56" s="12" t="n">
        <v>30</v>
      </c>
      <c r="P56" s="12" t="s">
        <v>263</v>
      </c>
      <c r="Q56" s="12"/>
      <c r="R56" s="12"/>
      <c r="S56" s="12"/>
      <c r="T56" s="18"/>
      <c r="U56" s="18"/>
      <c r="V56" s="18"/>
      <c r="W56" s="12"/>
      <c r="X56" s="12"/>
      <c r="Y56" s="15" t="str">
        <f aca="false">IF(OR(W56="",X56=""),"",1.65*0.25*W56+0.125*SQRT(W56^2+X56^2))</f>
        <v/>
      </c>
      <c r="Z56" s="15" t="str">
        <f aca="false">IF(OR(W56="",X56=""),"",1.65*0.5*W56+0.25*SQRT(W56^2+X56^2))</f>
        <v/>
      </c>
      <c r="AA56" s="15" t="str">
        <f aca="false">IF(OR(W56="",X56=""),"",1.65*0.75*W56+0.375*SQRT(W56^2+X56^2))</f>
        <v/>
      </c>
      <c r="AB56" s="12"/>
      <c r="AC56" s="12"/>
      <c r="AD56" s="12"/>
      <c r="AE56" s="16"/>
      <c r="AF56" s="12"/>
      <c r="AG56" s="12"/>
      <c r="AH56" s="17" t="s">
        <v>264</v>
      </c>
    </row>
    <row r="57" customFormat="false" ht="15" hidden="false" customHeight="true" outlineLevel="0" collapsed="false">
      <c r="A57" s="9" t="s">
        <v>265</v>
      </c>
      <c r="B57" s="11" t="s">
        <v>122</v>
      </c>
      <c r="C57" s="11" t="s">
        <v>89</v>
      </c>
      <c r="D57" s="11" t="s">
        <v>251</v>
      </c>
      <c r="E57" s="12"/>
      <c r="F57" s="12"/>
      <c r="G57" s="12" t="n">
        <v>25</v>
      </c>
      <c r="H57" s="12" t="s">
        <v>266</v>
      </c>
      <c r="I57" s="12" t="n">
        <v>25</v>
      </c>
      <c r="J57" s="12" t="s">
        <v>117</v>
      </c>
      <c r="K57" s="12"/>
      <c r="L57" s="12"/>
      <c r="M57" s="12" t="n">
        <v>15</v>
      </c>
      <c r="N57" s="12" t="s">
        <v>267</v>
      </c>
      <c r="O57" s="12"/>
      <c r="P57" s="12"/>
      <c r="Q57" s="12"/>
      <c r="R57" s="12"/>
      <c r="S57" s="12"/>
      <c r="T57" s="13" t="n">
        <v>25</v>
      </c>
      <c r="U57" s="14" t="s">
        <v>268</v>
      </c>
      <c r="V57" s="13" t="n">
        <v>10</v>
      </c>
      <c r="W57" s="12"/>
      <c r="X57" s="12"/>
      <c r="Y57" s="15" t="str">
        <f aca="false">IF(OR(W57="",X57=""),"",1.65*0.25*W57+0.125*SQRT(W57^2+X57^2))</f>
        <v/>
      </c>
      <c r="Z57" s="15" t="str">
        <f aca="false">IF(OR(W57="",X57=""),"",1.65*0.5*W57+0.25*SQRT(W57^2+X57^2))</f>
        <v/>
      </c>
      <c r="AA57" s="15" t="str">
        <f aca="false">IF(OR(W57="",X57=""),"",1.65*0.75*W57+0.375*SQRT(W57^2+X57^2))</f>
        <v/>
      </c>
      <c r="AB57" s="12"/>
      <c r="AC57" s="12"/>
      <c r="AD57" s="12"/>
      <c r="AE57" s="16"/>
      <c r="AF57" s="12"/>
      <c r="AG57" s="12"/>
      <c r="AH57" s="17"/>
    </row>
    <row r="58" customFormat="false" ht="15" hidden="false" customHeight="true" outlineLevel="0" collapsed="false">
      <c r="A58" s="9" t="s">
        <v>269</v>
      </c>
      <c r="B58" s="11" t="s">
        <v>122</v>
      </c>
      <c r="C58" s="11" t="s">
        <v>89</v>
      </c>
      <c r="D58" s="11" t="s">
        <v>251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8"/>
      <c r="U58" s="18"/>
      <c r="V58" s="18"/>
      <c r="W58" s="12"/>
      <c r="X58" s="12"/>
      <c r="Y58" s="15" t="str">
        <f aca="false">IF(OR(W58="",X58=""),"",1.65*0.25*W58+0.125*SQRT(W58^2+X58^2))</f>
        <v/>
      </c>
      <c r="Z58" s="15" t="str">
        <f aca="false">IF(OR(W58="",X58=""),"",1.65*0.5*W58+0.25*SQRT(W58^2+X58^2))</f>
        <v/>
      </c>
      <c r="AA58" s="15" t="str">
        <f aca="false">IF(OR(W58="",X58=""),"",1.65*0.75*W58+0.375*SQRT(W58^2+X58^2))</f>
        <v/>
      </c>
      <c r="AB58" s="12"/>
      <c r="AC58" s="12"/>
      <c r="AD58" s="12"/>
      <c r="AE58" s="16"/>
      <c r="AF58" s="12"/>
      <c r="AG58" s="12"/>
      <c r="AH58" s="17"/>
    </row>
    <row r="59" customFormat="false" ht="34.5" hidden="false" customHeight="true" outlineLevel="0" collapsed="false">
      <c r="A59" s="9" t="s">
        <v>270</v>
      </c>
      <c r="B59" s="11" t="s">
        <v>122</v>
      </c>
      <c r="C59" s="11" t="s">
        <v>89</v>
      </c>
      <c r="D59" s="11" t="s">
        <v>116</v>
      </c>
      <c r="E59" s="12"/>
      <c r="F59" s="12"/>
      <c r="G59" s="12" t="n">
        <v>30</v>
      </c>
      <c r="H59" s="12" t="s">
        <v>271</v>
      </c>
      <c r="I59" s="12" t="n">
        <v>25</v>
      </c>
      <c r="J59" s="12" t="s">
        <v>117</v>
      </c>
      <c r="K59" s="12"/>
      <c r="L59" s="12"/>
      <c r="M59" s="12" t="n">
        <v>25</v>
      </c>
      <c r="N59" s="12" t="s">
        <v>272</v>
      </c>
      <c r="O59" s="12" t="n">
        <v>30</v>
      </c>
      <c r="P59" s="12" t="s">
        <v>273</v>
      </c>
      <c r="Q59" s="12"/>
      <c r="R59" s="12"/>
      <c r="S59" s="12"/>
      <c r="T59" s="18"/>
      <c r="U59" s="18"/>
      <c r="V59" s="18"/>
      <c r="W59" s="12"/>
      <c r="X59" s="12"/>
      <c r="Y59" s="15" t="str">
        <f aca="false">IF(OR(W59="",X59=""),"",1.65*0.25*W59+0.125*SQRT(W59^2+X59^2))</f>
        <v/>
      </c>
      <c r="Z59" s="15" t="str">
        <f aca="false">IF(OR(W59="",X59=""),"",1.65*0.5*W59+0.25*SQRT(W59^2+X59^2))</f>
        <v/>
      </c>
      <c r="AA59" s="15" t="str">
        <f aca="false">IF(OR(W59="",X59=""),"",1.65*0.75*W59+0.375*SQRT(W59^2+X59^2))</f>
        <v/>
      </c>
      <c r="AB59" s="12"/>
      <c r="AC59" s="12"/>
      <c r="AD59" s="12"/>
      <c r="AE59" s="16"/>
      <c r="AF59" s="12"/>
      <c r="AG59" s="12"/>
      <c r="AH59" s="17" t="s">
        <v>274</v>
      </c>
    </row>
    <row r="60" customFormat="false" ht="15" hidden="false" customHeight="true" outlineLevel="0" collapsed="false">
      <c r="A60" s="9" t="s">
        <v>275</v>
      </c>
      <c r="B60" s="11" t="s">
        <v>122</v>
      </c>
      <c r="C60" s="11" t="s">
        <v>89</v>
      </c>
      <c r="D60" s="11" t="s">
        <v>103</v>
      </c>
      <c r="E60" s="12"/>
      <c r="F60" s="12"/>
      <c r="G60" s="12"/>
      <c r="H60" s="12"/>
      <c r="I60" s="12" t="n">
        <v>18</v>
      </c>
      <c r="J60" s="12" t="s">
        <v>117</v>
      </c>
      <c r="K60" s="12"/>
      <c r="L60" s="12"/>
      <c r="M60" s="12"/>
      <c r="N60" s="12"/>
      <c r="O60" s="12"/>
      <c r="P60" s="12"/>
      <c r="Q60" s="12"/>
      <c r="R60" s="12"/>
      <c r="S60" s="12"/>
      <c r="T60" s="18"/>
      <c r="U60" s="18"/>
      <c r="V60" s="18"/>
      <c r="W60" s="12"/>
      <c r="X60" s="12"/>
      <c r="Y60" s="15" t="str">
        <f aca="false">IF(OR(W60="",X60=""),"",1.65*0.25*W60+0.125*SQRT(W60^2+X60^2))</f>
        <v/>
      </c>
      <c r="Z60" s="15" t="str">
        <f aca="false">IF(OR(W60="",X60=""),"",1.65*0.5*W60+0.25*SQRT(W60^2+X60^2))</f>
        <v/>
      </c>
      <c r="AA60" s="15" t="str">
        <f aca="false">IF(OR(W60="",X60=""),"",1.65*0.75*W60+0.375*SQRT(W60^2+X60^2))</f>
        <v/>
      </c>
      <c r="AB60" s="12"/>
      <c r="AC60" s="12"/>
      <c r="AD60" s="12"/>
      <c r="AE60" s="16"/>
      <c r="AF60" s="12"/>
      <c r="AG60" s="12"/>
      <c r="AH60" s="17"/>
    </row>
    <row r="61" customFormat="false" ht="23.25" hidden="false" customHeight="true" outlineLevel="0" collapsed="false">
      <c r="A61" s="9" t="s">
        <v>276</v>
      </c>
      <c r="B61" s="11" t="s">
        <v>122</v>
      </c>
      <c r="C61" s="11" t="s">
        <v>89</v>
      </c>
      <c r="D61" s="11" t="s">
        <v>116</v>
      </c>
      <c r="E61" s="12"/>
      <c r="F61" s="12"/>
      <c r="G61" s="12" t="n">
        <v>20</v>
      </c>
      <c r="H61" s="12"/>
      <c r="I61" s="12" t="n">
        <v>16</v>
      </c>
      <c r="J61" s="12" t="s">
        <v>277</v>
      </c>
      <c r="K61" s="12"/>
      <c r="L61" s="12"/>
      <c r="M61" s="12" t="n">
        <v>15</v>
      </c>
      <c r="N61" s="12" t="s">
        <v>278</v>
      </c>
      <c r="O61" s="12" t="n">
        <v>20</v>
      </c>
      <c r="P61" s="12" t="s">
        <v>279</v>
      </c>
      <c r="Q61" s="12" t="n">
        <v>16</v>
      </c>
      <c r="R61" s="12"/>
      <c r="S61" s="12"/>
      <c r="T61" s="18"/>
      <c r="U61" s="18"/>
      <c r="V61" s="18"/>
      <c r="W61" s="12"/>
      <c r="X61" s="12"/>
      <c r="Y61" s="15" t="str">
        <f aca="false">IF(OR(W61="",X61=""),"",1.65*0.25*W61+0.125*SQRT(W61^2+X61^2))</f>
        <v/>
      </c>
      <c r="Z61" s="15" t="str">
        <f aca="false">IF(OR(W61="",X61=""),"",1.65*0.5*W61+0.25*SQRT(W61^2+X61^2))</f>
        <v/>
      </c>
      <c r="AA61" s="15" t="str">
        <f aca="false">IF(OR(W61="",X61=""),"",1.65*0.75*W61+0.375*SQRT(W61^2+X61^2))</f>
        <v/>
      </c>
      <c r="AB61" s="12"/>
      <c r="AC61" s="12" t="n">
        <v>22.8</v>
      </c>
      <c r="AD61" s="12"/>
      <c r="AE61" s="16"/>
      <c r="AF61" s="12"/>
      <c r="AG61" s="12"/>
      <c r="AH61" s="17" t="s">
        <v>280</v>
      </c>
    </row>
    <row r="62" customFormat="false" ht="45.75" hidden="false" customHeight="true" outlineLevel="0" collapsed="false">
      <c r="A62" s="9" t="s">
        <v>281</v>
      </c>
      <c r="B62" s="11" t="s">
        <v>122</v>
      </c>
      <c r="C62" s="11" t="s">
        <v>89</v>
      </c>
      <c r="D62" s="11" t="s">
        <v>282</v>
      </c>
      <c r="E62" s="12"/>
      <c r="F62" s="12"/>
      <c r="G62" s="12" t="n">
        <v>18</v>
      </c>
      <c r="H62" s="12" t="s">
        <v>283</v>
      </c>
      <c r="I62" s="12" t="n">
        <v>14</v>
      </c>
      <c r="J62" s="12" t="s">
        <v>277</v>
      </c>
      <c r="K62" s="12"/>
      <c r="L62" s="12"/>
      <c r="M62" s="12" t="n">
        <v>10</v>
      </c>
      <c r="N62" s="12" t="s">
        <v>284</v>
      </c>
      <c r="O62" s="12"/>
      <c r="P62" s="12"/>
      <c r="Q62" s="12"/>
      <c r="R62" s="12"/>
      <c r="S62" s="12"/>
      <c r="T62" s="13" t="n">
        <v>30</v>
      </c>
      <c r="U62" s="14" t="s">
        <v>285</v>
      </c>
      <c r="V62" s="13" t="n">
        <v>10</v>
      </c>
      <c r="W62" s="12"/>
      <c r="X62" s="12"/>
      <c r="Y62" s="15" t="str">
        <f aca="false">IF(OR(W62="",X62=""),"",1.65*0.25*W62+0.125*SQRT(W62^2+X62^2))</f>
        <v/>
      </c>
      <c r="Z62" s="15" t="str">
        <f aca="false">IF(OR(W62="",X62=""),"",1.65*0.5*W62+0.25*SQRT(W62^2+X62^2))</f>
        <v/>
      </c>
      <c r="AA62" s="15" t="str">
        <f aca="false">IF(OR(W62="",X62=""),"",1.65*0.75*W62+0.375*SQRT(W62^2+X62^2))</f>
        <v/>
      </c>
      <c r="AB62" s="12"/>
      <c r="AC62" s="12"/>
      <c r="AD62" s="12"/>
      <c r="AE62" s="16"/>
      <c r="AF62" s="12"/>
      <c r="AG62" s="12"/>
      <c r="AH62" s="17" t="s">
        <v>286</v>
      </c>
    </row>
    <row r="63" customFormat="false" ht="34.5" hidden="false" customHeight="true" outlineLevel="0" collapsed="false">
      <c r="A63" s="9" t="s">
        <v>287</v>
      </c>
      <c r="B63" s="11" t="s">
        <v>122</v>
      </c>
      <c r="C63" s="11" t="s">
        <v>89</v>
      </c>
      <c r="D63" s="11" t="s">
        <v>116</v>
      </c>
      <c r="E63" s="12"/>
      <c r="F63" s="12"/>
      <c r="G63" s="12"/>
      <c r="H63" s="12"/>
      <c r="I63" s="12"/>
      <c r="J63" s="12"/>
      <c r="K63" s="12"/>
      <c r="L63" s="12"/>
      <c r="M63" s="12" t="n">
        <v>12</v>
      </c>
      <c r="N63" s="12" t="s">
        <v>288</v>
      </c>
      <c r="O63" s="12" t="n">
        <v>20</v>
      </c>
      <c r="P63" s="12" t="s">
        <v>289</v>
      </c>
      <c r="Q63" s="12"/>
      <c r="R63" s="12"/>
      <c r="S63" s="12"/>
      <c r="T63" s="18"/>
      <c r="U63" s="18"/>
      <c r="V63" s="18"/>
      <c r="W63" s="12"/>
      <c r="X63" s="12"/>
      <c r="Y63" s="15" t="str">
        <f aca="false">IF(OR(W63="",X63=""),"",1.65*0.25*W63+0.125*SQRT(W63^2+X63^2))</f>
        <v/>
      </c>
      <c r="Z63" s="15" t="str">
        <f aca="false">IF(OR(W63="",X63=""),"",1.65*0.5*W63+0.25*SQRT(W63^2+X63^2))</f>
        <v/>
      </c>
      <c r="AA63" s="15" t="str">
        <f aca="false">IF(OR(W63="",X63=""),"",1.65*0.75*W63+0.375*SQRT(W63^2+X63^2))</f>
        <v/>
      </c>
      <c r="AB63" s="12"/>
      <c r="AC63" s="12"/>
      <c r="AD63" s="12"/>
      <c r="AE63" s="16"/>
      <c r="AF63" s="12"/>
      <c r="AG63" s="12"/>
      <c r="AH63" s="17" t="s">
        <v>290</v>
      </c>
    </row>
    <row r="64" customFormat="false" ht="34.5" hidden="false" customHeight="true" outlineLevel="0" collapsed="false">
      <c r="A64" s="9" t="s">
        <v>291</v>
      </c>
      <c r="B64" s="11" t="s">
        <v>122</v>
      </c>
      <c r="C64" s="11" t="s">
        <v>89</v>
      </c>
      <c r="D64" s="11" t="s">
        <v>103</v>
      </c>
      <c r="E64" s="12"/>
      <c r="F64" s="12"/>
      <c r="G64" s="12" t="n">
        <v>15</v>
      </c>
      <c r="H64" s="12" t="s">
        <v>292</v>
      </c>
      <c r="I64" s="12" t="n">
        <v>14</v>
      </c>
      <c r="J64" s="12" t="s">
        <v>92</v>
      </c>
      <c r="K64" s="12"/>
      <c r="L64" s="12"/>
      <c r="M64" s="12" t="n">
        <v>12</v>
      </c>
      <c r="N64" s="12" t="s">
        <v>293</v>
      </c>
      <c r="O64" s="12" t="n">
        <v>25</v>
      </c>
      <c r="P64" s="12" t="s">
        <v>294</v>
      </c>
      <c r="Q64" s="12" t="n">
        <v>16</v>
      </c>
      <c r="R64" s="12"/>
      <c r="S64" s="12"/>
      <c r="T64" s="18"/>
      <c r="U64" s="18"/>
      <c r="V64" s="18"/>
      <c r="W64" s="12"/>
      <c r="X64" s="12"/>
      <c r="Y64" s="15" t="str">
        <f aca="false">IF(OR(W64="",X64=""),"",1.65*0.25*W64+0.125*SQRT(W64^2+X64^2))</f>
        <v/>
      </c>
      <c r="Z64" s="15" t="str">
        <f aca="false">IF(OR(W64="",X64=""),"",1.65*0.5*W64+0.25*SQRT(W64^2+X64^2))</f>
        <v/>
      </c>
      <c r="AA64" s="15" t="str">
        <f aca="false">IF(OR(W64="",X64=""),"",1.65*0.75*W64+0.375*SQRT(W64^2+X64^2))</f>
        <v/>
      </c>
      <c r="AB64" s="12"/>
      <c r="AC64" s="12" t="n">
        <v>24.7</v>
      </c>
      <c r="AD64" s="12"/>
      <c r="AE64" s="16"/>
      <c r="AF64" s="12"/>
      <c r="AG64" s="12"/>
      <c r="AH64" s="17" t="s">
        <v>295</v>
      </c>
    </row>
    <row r="65" customFormat="false" ht="34.5" hidden="false" customHeight="true" outlineLevel="0" collapsed="false">
      <c r="A65" s="9" t="s">
        <v>296</v>
      </c>
      <c r="B65" s="11" t="s">
        <v>122</v>
      </c>
      <c r="C65" s="11" t="s">
        <v>89</v>
      </c>
      <c r="D65" s="11" t="s">
        <v>297</v>
      </c>
      <c r="E65" s="12"/>
      <c r="F65" s="12"/>
      <c r="G65" s="12" t="n">
        <v>20</v>
      </c>
      <c r="H65" s="12"/>
      <c r="I65" s="12" t="n">
        <v>16</v>
      </c>
      <c r="J65" s="12" t="s">
        <v>117</v>
      </c>
      <c r="K65" s="12"/>
      <c r="L65" s="12"/>
      <c r="M65" s="12" t="n">
        <v>12</v>
      </c>
      <c r="N65" s="12" t="s">
        <v>298</v>
      </c>
      <c r="O65" s="12" t="n">
        <v>25</v>
      </c>
      <c r="P65" s="12" t="s">
        <v>299</v>
      </c>
      <c r="Q65" s="12"/>
      <c r="R65" s="12"/>
      <c r="S65" s="12"/>
      <c r="T65" s="18"/>
      <c r="U65" s="18"/>
      <c r="V65" s="18"/>
      <c r="W65" s="12"/>
      <c r="X65" s="12"/>
      <c r="Y65" s="15" t="str">
        <f aca="false">IF(OR(W65="",X65=""),"",1.65*0.25*W65+0.125*SQRT(W65^2+X65^2))</f>
        <v/>
      </c>
      <c r="Z65" s="15" t="str">
        <f aca="false">IF(OR(W65="",X65=""),"",1.65*0.5*W65+0.25*SQRT(W65^2+X65^2))</f>
        <v/>
      </c>
      <c r="AA65" s="15" t="str">
        <f aca="false">IF(OR(W65="",X65=""),"",1.65*0.75*W65+0.375*SQRT(W65^2+X65^2))</f>
        <v/>
      </c>
      <c r="AB65" s="12"/>
      <c r="AC65" s="12"/>
      <c r="AD65" s="12"/>
      <c r="AE65" s="16"/>
      <c r="AF65" s="12"/>
      <c r="AG65" s="12"/>
      <c r="AH65" s="17" t="s">
        <v>300</v>
      </c>
    </row>
    <row r="66" customFormat="false" ht="15" hidden="false" customHeight="true" outlineLevel="0" collapsed="false">
      <c r="A66" s="9" t="s">
        <v>301</v>
      </c>
      <c r="B66" s="11" t="s">
        <v>122</v>
      </c>
      <c r="C66" s="11" t="s">
        <v>89</v>
      </c>
      <c r="D66" s="11" t="s">
        <v>302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8"/>
      <c r="U66" s="18"/>
      <c r="V66" s="18"/>
      <c r="W66" s="12"/>
      <c r="X66" s="12"/>
      <c r="Y66" s="15" t="str">
        <f aca="false">IF(OR(W66="",X66=""),"",1.65*0.25*W66+0.125*SQRT(W66^2+X66^2))</f>
        <v/>
      </c>
      <c r="Z66" s="15" t="str">
        <f aca="false">IF(OR(W66="",X66=""),"",1.65*0.5*W66+0.25*SQRT(W66^2+X66^2))</f>
        <v/>
      </c>
      <c r="AA66" s="15" t="str">
        <f aca="false">IF(OR(W66="",X66=""),"",1.65*0.75*W66+0.375*SQRT(W66^2+X66^2))</f>
        <v/>
      </c>
      <c r="AB66" s="12"/>
      <c r="AC66" s="12"/>
      <c r="AD66" s="12"/>
      <c r="AE66" s="16"/>
      <c r="AF66" s="12"/>
      <c r="AG66" s="12"/>
      <c r="AH66" s="17"/>
    </row>
    <row r="67" customFormat="false" ht="15" hidden="false" customHeight="true" outlineLevel="0" collapsed="false">
      <c r="A67" s="9" t="s">
        <v>303</v>
      </c>
      <c r="B67" s="11" t="s">
        <v>122</v>
      </c>
      <c r="C67" s="11" t="s">
        <v>89</v>
      </c>
      <c r="D67" s="11" t="s">
        <v>304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8"/>
      <c r="U67" s="18"/>
      <c r="V67" s="18"/>
      <c r="W67" s="12"/>
      <c r="X67" s="12"/>
      <c r="Y67" s="15" t="str">
        <f aca="false">IF(OR(W67="",X67=""),"",1.65*0.25*W67+0.125*SQRT(W67^2+X67^2))</f>
        <v/>
      </c>
      <c r="Z67" s="15" t="str">
        <f aca="false">IF(OR(W67="",X67=""),"",1.65*0.5*W67+0.25*SQRT(W67^2+X67^2))</f>
        <v/>
      </c>
      <c r="AA67" s="15" t="str">
        <f aca="false">IF(OR(W67="",X67=""),"",1.65*0.75*W67+0.375*SQRT(W67^2+X67^2))</f>
        <v/>
      </c>
      <c r="AB67" s="12"/>
      <c r="AC67" s="12"/>
      <c r="AD67" s="12"/>
      <c r="AE67" s="16"/>
      <c r="AF67" s="12"/>
      <c r="AG67" s="12"/>
      <c r="AH67" s="17"/>
    </row>
    <row r="68" customFormat="false" ht="34.5" hidden="false" customHeight="true" outlineLevel="0" collapsed="false">
      <c r="A68" s="9" t="s">
        <v>305</v>
      </c>
      <c r="B68" s="11" t="s">
        <v>122</v>
      </c>
      <c r="C68" s="11" t="s">
        <v>89</v>
      </c>
      <c r="D68" s="11" t="s">
        <v>116</v>
      </c>
      <c r="E68" s="12"/>
      <c r="F68" s="12"/>
      <c r="G68" s="12" t="n">
        <v>15</v>
      </c>
      <c r="H68" s="12" t="s">
        <v>110</v>
      </c>
      <c r="I68" s="12"/>
      <c r="J68" s="12"/>
      <c r="K68" s="12"/>
      <c r="L68" s="12"/>
      <c r="M68" s="12" t="n">
        <v>10</v>
      </c>
      <c r="N68" s="12" t="s">
        <v>306</v>
      </c>
      <c r="O68" s="12"/>
      <c r="P68" s="12"/>
      <c r="Q68" s="12" t="n">
        <v>30</v>
      </c>
      <c r="R68" s="12"/>
      <c r="S68" s="12"/>
      <c r="T68" s="18"/>
      <c r="U68" s="18"/>
      <c r="V68" s="18"/>
      <c r="W68" s="12"/>
      <c r="X68" s="12"/>
      <c r="Y68" s="15" t="str">
        <f aca="false">IF(OR(W68="",X68=""),"",1.65*0.25*W68+0.125*SQRT(W68^2+X68^2))</f>
        <v/>
      </c>
      <c r="Z68" s="15" t="str">
        <f aca="false">IF(OR(W68="",X68=""),"",1.65*0.5*W68+0.25*SQRT(W68^2+X68^2))</f>
        <v/>
      </c>
      <c r="AA68" s="15" t="str">
        <f aca="false">IF(OR(W68="",X68=""),"",1.65*0.75*W68+0.375*SQRT(W68^2+X68^2))</f>
        <v/>
      </c>
      <c r="AB68" s="12"/>
      <c r="AC68" s="12"/>
      <c r="AD68" s="12"/>
      <c r="AE68" s="16"/>
      <c r="AF68" s="12"/>
      <c r="AG68" s="12"/>
      <c r="AH68" s="17" t="s">
        <v>307</v>
      </c>
    </row>
  </sheetData>
  <autoFilter ref="A5:AH68"/>
  <mergeCells count="16">
    <mergeCell ref="A4:A5"/>
    <mergeCell ref="B4:B5"/>
    <mergeCell ref="C4:C5"/>
    <mergeCell ref="D4:D5"/>
    <mergeCell ref="E4:F4"/>
    <mergeCell ref="G4:H4"/>
    <mergeCell ref="I4:J4"/>
    <mergeCell ref="K4:L4"/>
    <mergeCell ref="M4:N4"/>
    <mergeCell ref="O4:P4"/>
    <mergeCell ref="R4:S4"/>
    <mergeCell ref="T4:V4"/>
    <mergeCell ref="W4:AA4"/>
    <mergeCell ref="AB4:AD4"/>
    <mergeCell ref="AE4:AG4"/>
    <mergeCell ref="AH4:A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6"/>
    <col collapsed="false" customWidth="true" hidden="false" outlineLevel="0" max="4" min="3" style="1" width="11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7"/>
    <col collapsed="false" customWidth="true" hidden="false" outlineLevel="0" max="8" min="8" style="1" width="10"/>
    <col collapsed="false" customWidth="true" hidden="true" outlineLevel="0" max="9" min="9" style="1" width="5"/>
    <col collapsed="false" customWidth="true" hidden="false" outlineLevel="0" max="25" min="10" style="1" width="10"/>
    <col collapsed="false" customWidth="true" hidden="false" outlineLevel="0" max="26" min="26" style="1" width="2"/>
    <col collapsed="false" customWidth="true" hidden="false" outlineLevel="0" max="42" min="27" style="1" width="10"/>
  </cols>
  <sheetData>
    <row r="1" customFormat="false" ht="15.75" hidden="false" customHeight="true" outlineLevel="0" collapsed="false">
      <c r="A1" s="6" t="s">
        <v>308</v>
      </c>
    </row>
    <row r="2" customFormat="false" ht="15" hidden="false" customHeight="true" outlineLevel="0" collapsed="false">
      <c r="A2" s="7" t="s">
        <v>309</v>
      </c>
    </row>
    <row r="4" customFormat="false" ht="15" hidden="false" customHeight="true" outlineLevel="0" collapsed="false">
      <c r="A4" s="19" t="s">
        <v>22</v>
      </c>
      <c r="B4" s="19" t="s">
        <v>310</v>
      </c>
      <c r="C4" s="19" t="s">
        <v>311</v>
      </c>
      <c r="D4" s="19" t="s">
        <v>312</v>
      </c>
      <c r="E4" s="19" t="s">
        <v>313</v>
      </c>
      <c r="F4" s="19" t="s">
        <v>314</v>
      </c>
      <c r="G4" s="19" t="s">
        <v>315</v>
      </c>
      <c r="H4" s="19" t="s">
        <v>316</v>
      </c>
      <c r="I4" s="19" t="s">
        <v>317</v>
      </c>
      <c r="J4" s="8" t="s">
        <v>318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AA4" s="8" t="s">
        <v>319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customFormat="false" ht="48" hidden="false" customHeight="true" outlineLevel="0" collapsed="false">
      <c r="A5" s="19"/>
      <c r="B5" s="19"/>
      <c r="C5" s="19"/>
      <c r="D5" s="19"/>
      <c r="E5" s="19"/>
      <c r="F5" s="19"/>
      <c r="G5" s="19"/>
      <c r="H5" s="19"/>
      <c r="I5" s="19"/>
      <c r="J5" s="19" t="s">
        <v>26</v>
      </c>
      <c r="K5" s="19" t="s">
        <v>27</v>
      </c>
      <c r="L5" s="19" t="s">
        <v>28</v>
      </c>
      <c r="M5" s="19" t="s">
        <v>29</v>
      </c>
      <c r="N5" s="19" t="s">
        <v>30</v>
      </c>
      <c r="O5" s="19" t="s">
        <v>31</v>
      </c>
      <c r="P5" s="19" t="s">
        <v>32</v>
      </c>
      <c r="Q5" s="19" t="s">
        <v>33</v>
      </c>
      <c r="R5" s="19" t="s">
        <v>34</v>
      </c>
      <c r="S5" s="19" t="s">
        <v>320</v>
      </c>
      <c r="T5" s="19" t="s">
        <v>321</v>
      </c>
      <c r="U5" s="19" t="s">
        <v>322</v>
      </c>
      <c r="V5" s="19" t="s">
        <v>323</v>
      </c>
      <c r="W5" s="19" t="s">
        <v>324</v>
      </c>
      <c r="X5" s="19" t="s">
        <v>325</v>
      </c>
      <c r="Y5" s="19" t="s">
        <v>37</v>
      </c>
      <c r="AA5" s="19" t="s">
        <v>26</v>
      </c>
      <c r="AB5" s="19" t="s">
        <v>27</v>
      </c>
      <c r="AC5" s="19" t="s">
        <v>28</v>
      </c>
      <c r="AD5" s="19" t="s">
        <v>29</v>
      </c>
      <c r="AE5" s="19" t="s">
        <v>30</v>
      </c>
      <c r="AF5" s="19" t="s">
        <v>31</v>
      </c>
      <c r="AG5" s="19" t="s">
        <v>32</v>
      </c>
      <c r="AH5" s="19" t="s">
        <v>33</v>
      </c>
      <c r="AI5" s="19" t="s">
        <v>34</v>
      </c>
      <c r="AJ5" s="19" t="s">
        <v>320</v>
      </c>
      <c r="AK5" s="19" t="s">
        <v>321</v>
      </c>
      <c r="AL5" s="19" t="s">
        <v>322</v>
      </c>
      <c r="AM5" s="19" t="s">
        <v>323</v>
      </c>
      <c r="AN5" s="19" t="s">
        <v>324</v>
      </c>
      <c r="AO5" s="19" t="s">
        <v>325</v>
      </c>
      <c r="AP5" s="19" t="s">
        <v>37</v>
      </c>
    </row>
    <row r="6" customFormat="false" ht="15" hidden="false" customHeight="true" outlineLevel="0" collapsed="false">
      <c r="A6" s="20" t="s">
        <v>51</v>
      </c>
      <c r="B6" s="10" t="s">
        <v>326</v>
      </c>
      <c r="C6" s="11" t="s">
        <v>327</v>
      </c>
      <c r="D6" s="21" t="n">
        <v>136.569</v>
      </c>
      <c r="E6" s="22" t="n">
        <v>1.088</v>
      </c>
      <c r="F6" s="22" t="n">
        <v>0.236</v>
      </c>
      <c r="G6" s="23" t="n">
        <v>1777</v>
      </c>
      <c r="H6" s="11" t="s">
        <v>328</v>
      </c>
      <c r="I6" s="24" t="n">
        <f aca="false">MATCH(A6,'TEa input'!$A$6:$A$68,0)</f>
        <v>1</v>
      </c>
      <c r="J6" s="25" t="n">
        <f aca="false">IF(INDEX('TEa input'!$E$6:$E$68,$I6)="","",INDEX('TEa input'!$E$6:$E$68,$I6))</f>
        <v>2</v>
      </c>
      <c r="K6" s="25" t="str">
        <f aca="false">IF(INDEX('TEa input'!$G$6:$G$68,$I6)="","",INDEX('TEa input'!$G$6:$G$68,$I6))</f>
        <v/>
      </c>
      <c r="L6" s="25" t="n">
        <f aca="false">IF(INDEX('TEa input'!$I$6:$I$68,$I6)="","",INDEX('TEa input'!$I$6:$I$68,$I6))</f>
        <v>3</v>
      </c>
      <c r="M6" s="25" t="str">
        <f aca="false">IF(INDEX('TEa input'!$K$6:$K$68,$I6)="","",INDEX('TEa input'!$K$6:$K$68,$I6))</f>
        <v/>
      </c>
      <c r="N6" s="25" t="n">
        <f aca="false">IF(INDEX('TEa input'!$M$6:$M$68,$I6)="","",INDEX('TEa input'!$M$6:$M$68,$I6))</f>
        <v>2</v>
      </c>
      <c r="O6" s="25" t="n">
        <f aca="false">IF(INDEX('TEa input'!$O$6:$O$68,$I6)="","",INDEX('TEa input'!$O$6:$O$68,$I6))</f>
        <v>4</v>
      </c>
      <c r="P6" s="25" t="n">
        <f aca="false">IF(INDEX('TEa input'!$Q$6:$Q$68,$I6)="","",INDEX('TEa input'!$Q$6:$Q$68,$I6))</f>
        <v>5</v>
      </c>
      <c r="Q6" s="25" t="n">
        <f aca="false">IF(INDEX('TEa input'!$R$6:$R$68,$I6)="","",INDEX('TEa input'!$R$6:$R$68,$I6))</f>
        <v>3.4</v>
      </c>
      <c r="R6" s="25" t="n">
        <f aca="false">IF(INDEX('TEa input'!$T$6:$T$68,$I6)="","",INDEX('TEa input'!$T$6:$T$68,$I6))</f>
        <v>9</v>
      </c>
      <c r="S6" s="25" t="n">
        <f aca="false">IF(INDEX('TEa input'!$Y$6:$Y$68,$I6)="","",INDEX('TEa input'!$Y$6:$Y$68,$I6))</f>
        <v>0.313779065838033</v>
      </c>
      <c r="T6" s="25" t="n">
        <f aca="false">IF(INDEX('TEa input'!$Z$6:$Z$68,$I6)="","",INDEX('TEa input'!$Z$6:$Z$68,$I6))</f>
        <v>0.627558131676066</v>
      </c>
      <c r="U6" s="25" t="n">
        <f aca="false">IF(INDEX('TEa input'!$AA$6:$AA$68,$I6)="","",INDEX('TEa input'!$AA$6:$AA$68,$I6))</f>
        <v>0.941337197514098</v>
      </c>
      <c r="V6" s="25" t="str">
        <f aca="false">IF(INDEX('TEa input'!$AB$6:$AB$68,$I6)="","",INDEX('TEa input'!$AB$6:$AB$68,$I6))</f>
        <v/>
      </c>
      <c r="W6" s="25" t="n">
        <f aca="false">IF(INDEX('TEa input'!$AC$6:$AC$68,$I6)="","",INDEX('TEa input'!$AC$6:$AC$68,$I6))</f>
        <v>0.73</v>
      </c>
      <c r="X6" s="25" t="str">
        <f aca="false">IF(INDEX('TEa input'!$AD$6:$AD$68,$I6)="","",INDEX('TEa input'!$AD$6:$AD$68,$I6))</f>
        <v/>
      </c>
      <c r="Y6" s="25" t="str">
        <f aca="false">IF(INDEX('TEa input'!$AF$6:$AF$68,$I6)="","",INDEX('TEa input'!$AF$6:$AF$68,$I6))</f>
        <v/>
      </c>
      <c r="AA6" s="26" t="n">
        <f aca="false">IF(OR(J6="",$E6="",N($E6)&lt;=0),"",(J6-ABS(N($F6)))/$E6)</f>
        <v>1.62132352941176</v>
      </c>
      <c r="AB6" s="26" t="str">
        <f aca="false">IF(OR(K6="",$E6="",N($E6)&lt;=0),"",(K6-ABS(N($F6)))/$E6)</f>
        <v/>
      </c>
      <c r="AC6" s="26" t="n">
        <f aca="false">IF(OR(L6="",$E6="",N($E6)&lt;=0),"",(L6-ABS(N($F6)))/$E6)</f>
        <v>2.54044117647059</v>
      </c>
      <c r="AD6" s="26" t="str">
        <f aca="false">IF(OR(M6="",$E6="",N($E6)&lt;=0),"",(M6-ABS(N($F6)))/$E6)</f>
        <v/>
      </c>
      <c r="AE6" s="26" t="n">
        <f aca="false">IF(OR(N6="",$E6="",N($E6)&lt;=0),"",(N6-ABS(N($F6)))/$E6)</f>
        <v>1.62132352941176</v>
      </c>
      <c r="AF6" s="26" t="n">
        <f aca="false">IF(OR(O6="",$E6="",N($E6)&lt;=0),"",(O6-ABS(N($F6)))/$E6)</f>
        <v>3.45955882352941</v>
      </c>
      <c r="AG6" s="26" t="n">
        <f aca="false">IF(OR(P6="",$E6="",N($E6)&lt;=0),"",(P6-ABS(N($F6)))/$E6)</f>
        <v>4.37867647058824</v>
      </c>
      <c r="AH6" s="26" t="n">
        <f aca="false">IF(OR(Q6="",$E6="",N($E6)&lt;=0),"",(Q6-ABS(N($F6)))/$E6)</f>
        <v>2.90808823529412</v>
      </c>
      <c r="AI6" s="26" t="n">
        <f aca="false">IF(OR(R6="",$E6="",N($E6)&lt;=0),"",(R6-ABS(N($F6)))/$E6)</f>
        <v>8.05514705882353</v>
      </c>
      <c r="AJ6" s="26" t="n">
        <f aca="false">IF(OR(S6="",$E6="",N($E6)&lt;=0),"",(S6-ABS(N($F6)))/$E6)</f>
        <v>0.0714881119834861</v>
      </c>
      <c r="AK6" s="26" t="n">
        <f aca="false">IF(OR(T6="",$E6="",N($E6)&lt;=0),"",(T6-ABS(N($F6)))/$E6)</f>
        <v>0.359887988672855</v>
      </c>
      <c r="AL6" s="26" t="n">
        <f aca="false">IF(OR(U6="",$E6="",N($E6)&lt;=0),"",(U6-ABS(N($F6)))/$E6)</f>
        <v>0.648287865362223</v>
      </c>
      <c r="AM6" s="26" t="str">
        <f aca="false">IF(OR(V6="",$E6="",N($E6)&lt;=0),"",(V6-ABS(N($F6)))/$E6)</f>
        <v/>
      </c>
      <c r="AN6" s="26" t="n">
        <f aca="false">IF(OR(W6="",$E6="",N($E6)&lt;=0),"",(W6-ABS(N($F6)))/$E6)</f>
        <v>0.454044117647059</v>
      </c>
      <c r="AO6" s="26" t="str">
        <f aca="false">IF(OR(X6="",$E6="",N($E6)&lt;=0),"",(X6-ABS(N($F6)))/$E6)</f>
        <v/>
      </c>
      <c r="AP6" s="26" t="str">
        <f aca="false">IF(OR(Y6="",$E6="",N($E6)&lt;=0),"",(Y6-ABS(N($F6)))/$E6)</f>
        <v/>
      </c>
    </row>
    <row r="7" customFormat="false" ht="15" hidden="false" customHeight="true" outlineLevel="0" collapsed="false">
      <c r="A7" s="20" t="s">
        <v>51</v>
      </c>
      <c r="B7" s="10" t="s">
        <v>329</v>
      </c>
      <c r="C7" s="11" t="s">
        <v>330</v>
      </c>
      <c r="D7" s="21" t="n">
        <v>154.677</v>
      </c>
      <c r="E7" s="22" t="n">
        <v>0.726</v>
      </c>
      <c r="F7" s="22" t="n">
        <v>0.251</v>
      </c>
      <c r="G7" s="23" t="n">
        <v>1787</v>
      </c>
      <c r="H7" s="11" t="s">
        <v>328</v>
      </c>
      <c r="I7" s="24" t="n">
        <f aca="false">MATCH(A7,'TEa input'!$A$6:$A$68,0)</f>
        <v>1</v>
      </c>
      <c r="J7" s="25" t="n">
        <f aca="false">IF(INDEX('TEa input'!$E$6:$E$68,$I7)="","",INDEX('TEa input'!$E$6:$E$68,$I7))</f>
        <v>2</v>
      </c>
      <c r="K7" s="25" t="str">
        <f aca="false">IF(INDEX('TEa input'!$G$6:$G$68,$I7)="","",INDEX('TEa input'!$G$6:$G$68,$I7))</f>
        <v/>
      </c>
      <c r="L7" s="25" t="n">
        <f aca="false">IF(INDEX('TEa input'!$I$6:$I$68,$I7)="","",INDEX('TEa input'!$I$6:$I$68,$I7))</f>
        <v>3</v>
      </c>
      <c r="M7" s="25" t="str">
        <f aca="false">IF(INDEX('TEa input'!$K$6:$K$68,$I7)="","",INDEX('TEa input'!$K$6:$K$68,$I7))</f>
        <v/>
      </c>
      <c r="N7" s="25" t="n">
        <f aca="false">IF(INDEX('TEa input'!$M$6:$M$68,$I7)="","",INDEX('TEa input'!$M$6:$M$68,$I7))</f>
        <v>2</v>
      </c>
      <c r="O7" s="25" t="n">
        <f aca="false">IF(INDEX('TEa input'!$O$6:$O$68,$I7)="","",INDEX('TEa input'!$O$6:$O$68,$I7))</f>
        <v>4</v>
      </c>
      <c r="P7" s="25" t="n">
        <f aca="false">IF(INDEX('TEa input'!$Q$6:$Q$68,$I7)="","",INDEX('TEa input'!$Q$6:$Q$68,$I7))</f>
        <v>5</v>
      </c>
      <c r="Q7" s="25" t="n">
        <f aca="false">IF(INDEX('TEa input'!$R$6:$R$68,$I7)="","",INDEX('TEa input'!$R$6:$R$68,$I7))</f>
        <v>3.4</v>
      </c>
      <c r="R7" s="25" t="n">
        <f aca="false">IF(INDEX('TEa input'!$T$6:$T$68,$I7)="","",INDEX('TEa input'!$T$6:$T$68,$I7))</f>
        <v>9</v>
      </c>
      <c r="S7" s="25" t="n">
        <f aca="false">IF(INDEX('TEa input'!$Y$6:$Y$68,$I7)="","",INDEX('TEa input'!$Y$6:$Y$68,$I7))</f>
        <v>0.313779065838033</v>
      </c>
      <c r="T7" s="25" t="n">
        <f aca="false">IF(INDEX('TEa input'!$Z$6:$Z$68,$I7)="","",INDEX('TEa input'!$Z$6:$Z$68,$I7))</f>
        <v>0.627558131676066</v>
      </c>
      <c r="U7" s="25" t="n">
        <f aca="false">IF(INDEX('TEa input'!$AA$6:$AA$68,$I7)="","",INDEX('TEa input'!$AA$6:$AA$68,$I7))</f>
        <v>0.941337197514098</v>
      </c>
      <c r="V7" s="25" t="str">
        <f aca="false">IF(INDEX('TEa input'!$AB$6:$AB$68,$I7)="","",INDEX('TEa input'!$AB$6:$AB$68,$I7))</f>
        <v/>
      </c>
      <c r="W7" s="25" t="n">
        <f aca="false">IF(INDEX('TEa input'!$AC$6:$AC$68,$I7)="","",INDEX('TEa input'!$AC$6:$AC$68,$I7))</f>
        <v>0.73</v>
      </c>
      <c r="X7" s="25" t="str">
        <f aca="false">IF(INDEX('TEa input'!$AD$6:$AD$68,$I7)="","",INDEX('TEa input'!$AD$6:$AD$68,$I7))</f>
        <v/>
      </c>
      <c r="Y7" s="25" t="str">
        <f aca="false">IF(INDEX('TEa input'!$AF$6:$AF$68,$I7)="","",INDEX('TEa input'!$AF$6:$AF$68,$I7))</f>
        <v/>
      </c>
      <c r="AA7" s="26" t="n">
        <f aca="false">IF(OR(J7="",$E7="",N($E7)&lt;=0),"",(J7-ABS(N($F7)))/$E7)</f>
        <v>2.40909090909091</v>
      </c>
      <c r="AB7" s="26" t="str">
        <f aca="false">IF(OR(K7="",$E7="",N($E7)&lt;=0),"",(K7-ABS(N($F7)))/$E7)</f>
        <v/>
      </c>
      <c r="AC7" s="26" t="n">
        <f aca="false">IF(OR(L7="",$E7="",N($E7)&lt;=0),"",(L7-ABS(N($F7)))/$E7)</f>
        <v>3.78650137741047</v>
      </c>
      <c r="AD7" s="26" t="str">
        <f aca="false">IF(OR(M7="",$E7="",N($E7)&lt;=0),"",(M7-ABS(N($F7)))/$E7)</f>
        <v/>
      </c>
      <c r="AE7" s="26" t="n">
        <f aca="false">IF(OR(N7="",$E7="",N($E7)&lt;=0),"",(N7-ABS(N($F7)))/$E7)</f>
        <v>2.40909090909091</v>
      </c>
      <c r="AF7" s="26" t="n">
        <f aca="false">IF(OR(O7="",$E7="",N($E7)&lt;=0),"",(O7-ABS(N($F7)))/$E7)</f>
        <v>5.16391184573003</v>
      </c>
      <c r="AG7" s="26" t="n">
        <f aca="false">IF(OR(P7="",$E7="",N($E7)&lt;=0),"",(P7-ABS(N($F7)))/$E7)</f>
        <v>6.54132231404959</v>
      </c>
      <c r="AH7" s="26" t="n">
        <f aca="false">IF(OR(Q7="",$E7="",N($E7)&lt;=0),"",(Q7-ABS(N($F7)))/$E7)</f>
        <v>4.33746556473829</v>
      </c>
      <c r="AI7" s="26" t="n">
        <f aca="false">IF(OR(R7="",$E7="",N($E7)&lt;=0),"",(R7-ABS(N($F7)))/$E7)</f>
        <v>12.0509641873278</v>
      </c>
      <c r="AJ7" s="26" t="n">
        <f aca="false">IF(OR(S7="",$E7="",N($E7)&lt;=0),"",(S7-ABS(N($F7)))/$E7)</f>
        <v>0.0864725424766293</v>
      </c>
      <c r="AK7" s="26" t="n">
        <f aca="false">IF(OR(T7="",$E7="",N($E7)&lt;=0),"",(T7-ABS(N($F7)))/$E7)</f>
        <v>0.518675112501468</v>
      </c>
      <c r="AL7" s="26" t="n">
        <f aca="false">IF(OR(U7="",$E7="",N($E7)&lt;=0),"",(U7-ABS(N($F7)))/$E7)</f>
        <v>0.950877682526306</v>
      </c>
      <c r="AM7" s="26" t="str">
        <f aca="false">IF(OR(V7="",$E7="",N($E7)&lt;=0),"",(V7-ABS(N($F7)))/$E7)</f>
        <v/>
      </c>
      <c r="AN7" s="26" t="n">
        <f aca="false">IF(OR(W7="",$E7="",N($E7)&lt;=0),"",(W7-ABS(N($F7)))/$E7)</f>
        <v>0.659779614325069</v>
      </c>
      <c r="AO7" s="26" t="str">
        <f aca="false">IF(OR(X7="",$E7="",N($E7)&lt;=0),"",(X7-ABS(N($F7)))/$E7)</f>
        <v/>
      </c>
      <c r="AP7" s="26" t="str">
        <f aca="false">IF(OR(Y7="",$E7="",N($E7)&lt;=0),"",(Y7-ABS(N($F7)))/$E7)</f>
        <v/>
      </c>
    </row>
    <row r="8" customFormat="false" ht="15" hidden="false" customHeight="true" outlineLevel="0" collapsed="false">
      <c r="A8" s="20" t="s">
        <v>60</v>
      </c>
      <c r="B8" s="10" t="s">
        <v>326</v>
      </c>
      <c r="C8" s="11" t="s">
        <v>327</v>
      </c>
      <c r="D8" s="21" t="n">
        <v>99.1432</v>
      </c>
      <c r="E8" s="22" t="n">
        <v>1.903</v>
      </c>
      <c r="F8" s="22" t="n">
        <v>0.116</v>
      </c>
      <c r="G8" s="23" t="n">
        <v>1325</v>
      </c>
      <c r="H8" s="11" t="s">
        <v>331</v>
      </c>
      <c r="I8" s="24" t="n">
        <f aca="false">MATCH(A8,'TEa input'!$A$6:$A$68,0)</f>
        <v>2</v>
      </c>
      <c r="J8" s="25" t="n">
        <f aca="false">IF(INDEX('TEa input'!$E$6:$E$68,$I8)="","",INDEX('TEa input'!$E$6:$E$68,$I8))</f>
        <v>8</v>
      </c>
      <c r="K8" s="25" t="n">
        <f aca="false">IF(INDEX('TEa input'!$G$6:$G$68,$I8)="","",INDEX('TEa input'!$G$6:$G$68,$I8))</f>
        <v>10</v>
      </c>
      <c r="L8" s="25" t="n">
        <f aca="false">IF(INDEX('TEa input'!$I$6:$I$68,$I8)="","",INDEX('TEa input'!$I$6:$I$68,$I8))</f>
        <v>11.5</v>
      </c>
      <c r="M8" s="25" t="str">
        <f aca="false">IF(INDEX('TEa input'!$K$6:$K$68,$I8)="","",INDEX('TEa input'!$K$6:$K$68,$I8))</f>
        <v/>
      </c>
      <c r="N8" s="25" t="n">
        <f aca="false">IF(INDEX('TEa input'!$M$6:$M$68,$I8)="","",INDEX('TEa input'!$M$6:$M$68,$I8))</f>
        <v>8</v>
      </c>
      <c r="O8" s="25" t="n">
        <f aca="false">IF(INDEX('TEa input'!$O$6:$O$68,$I8)="","",INDEX('TEa input'!$O$6:$O$68,$I8))</f>
        <v>12</v>
      </c>
      <c r="P8" s="25" t="n">
        <f aca="false">IF(INDEX('TEa input'!$Q$6:$Q$68,$I8)="","",INDEX('TEa input'!$Q$6:$Q$68,$I8))</f>
        <v>15</v>
      </c>
      <c r="Q8" s="25" t="n">
        <f aca="false">IF(INDEX('TEa input'!$R$6:$R$68,$I8)="","",INDEX('TEa input'!$R$6:$R$68,$I8))</f>
        <v>10.9</v>
      </c>
      <c r="R8" s="25" t="n">
        <f aca="false">IF(INDEX('TEa input'!$T$6:$T$68,$I8)="","",INDEX('TEa input'!$T$6:$T$68,$I8))</f>
        <v>20</v>
      </c>
      <c r="S8" s="25" t="n">
        <f aca="false">IF(INDEX('TEa input'!$Y$6:$Y$68,$I8)="","",INDEX('TEa input'!$Y$6:$Y$68,$I8))</f>
        <v>3.90130205147769</v>
      </c>
      <c r="T8" s="25" t="n">
        <f aca="false">IF(INDEX('TEa input'!$Z$6:$Z$68,$I8)="","",INDEX('TEa input'!$Z$6:$Z$68,$I8))</f>
        <v>7.80260410295537</v>
      </c>
      <c r="U8" s="25" t="n">
        <f aca="false">IF(INDEX('TEa input'!$AA$6:$AA$68,$I8)="","",INDEX('TEa input'!$AA$6:$AA$68,$I8))</f>
        <v>11.7039061544331</v>
      </c>
      <c r="V8" s="25" t="str">
        <f aca="false">IF(INDEX('TEa input'!$AB$6:$AB$68,$I8)="","",INDEX('TEa input'!$AB$6:$AB$68,$I8))</f>
        <v/>
      </c>
      <c r="W8" s="25" t="n">
        <f aca="false">IF(INDEX('TEa input'!$AC$6:$AC$68,$I8)="","",INDEX('TEa input'!$AC$6:$AC$68,$I8))</f>
        <v>8.87</v>
      </c>
      <c r="X8" s="25" t="str">
        <f aca="false">IF(INDEX('TEa input'!$AD$6:$AD$68,$I8)="","",INDEX('TEa input'!$AD$6:$AD$68,$I8))</f>
        <v/>
      </c>
      <c r="Y8" s="25" t="str">
        <f aca="false">IF(INDEX('TEa input'!$AF$6:$AF$68,$I8)="","",INDEX('TEa input'!$AF$6:$AF$68,$I8))</f>
        <v/>
      </c>
      <c r="AA8" s="26" t="n">
        <f aca="false">IF(OR(J8="",$E8="",N($E8)&lt;=0),"",(J8-ABS(N($F8)))/$E8)</f>
        <v>4.14293221229637</v>
      </c>
      <c r="AB8" s="26" t="n">
        <f aca="false">IF(OR(K8="",$E8="",N($E8)&lt;=0),"",(K8-ABS(N($F8)))/$E8)</f>
        <v>5.19390436153442</v>
      </c>
      <c r="AC8" s="26" t="n">
        <f aca="false">IF(OR(L8="",$E8="",N($E8)&lt;=0),"",(L8-ABS(N($F8)))/$E8)</f>
        <v>5.98213347346295</v>
      </c>
      <c r="AD8" s="26" t="str">
        <f aca="false">IF(OR(M8="",$E8="",N($E8)&lt;=0),"",(M8-ABS(N($F8)))/$E8)</f>
        <v/>
      </c>
      <c r="AE8" s="26" t="n">
        <f aca="false">IF(OR(N8="",$E8="",N($E8)&lt;=0),"",(N8-ABS(N($F8)))/$E8)</f>
        <v>4.14293221229637</v>
      </c>
      <c r="AF8" s="26" t="n">
        <f aca="false">IF(OR(O8="",$E8="",N($E8)&lt;=0),"",(O8-ABS(N($F8)))/$E8)</f>
        <v>6.24487651077247</v>
      </c>
      <c r="AG8" s="26" t="n">
        <f aca="false">IF(OR(P8="",$E8="",N($E8)&lt;=0),"",(P8-ABS(N($F8)))/$E8)</f>
        <v>7.82133473462953</v>
      </c>
      <c r="AH8" s="26" t="n">
        <f aca="false">IF(OR(Q8="",$E8="",N($E8)&lt;=0),"",(Q8-ABS(N($F8)))/$E8)</f>
        <v>5.66684182869154</v>
      </c>
      <c r="AI8" s="26" t="n">
        <f aca="false">IF(OR(R8="",$E8="",N($E8)&lt;=0),"",(R8-ABS(N($F8)))/$E8)</f>
        <v>10.4487651077246</v>
      </c>
      <c r="AJ8" s="26" t="n">
        <f aca="false">IF(OR(S8="",$E8="",N($E8)&lt;=0),"",(S8-ABS(N($F8)))/$E8)</f>
        <v>1.98912351627834</v>
      </c>
      <c r="AK8" s="26" t="n">
        <f aca="false">IF(OR(T8="",$E8="",N($E8)&lt;=0),"",(T8-ABS(N($F8)))/$E8)</f>
        <v>4.03920341721249</v>
      </c>
      <c r="AL8" s="26" t="n">
        <f aca="false">IF(OR(U8="",$E8="",N($E8)&lt;=0),"",(U8-ABS(N($F8)))/$E8)</f>
        <v>6.08928331814664</v>
      </c>
      <c r="AM8" s="26" t="str">
        <f aca="false">IF(OR(V8="",$E8="",N($E8)&lt;=0),"",(V8-ABS(N($F8)))/$E8)</f>
        <v/>
      </c>
      <c r="AN8" s="26" t="n">
        <f aca="false">IF(OR(W8="",$E8="",N($E8)&lt;=0),"",(W8-ABS(N($F8)))/$E8)</f>
        <v>4.60010509721492</v>
      </c>
      <c r="AO8" s="26" t="str">
        <f aca="false">IF(OR(X8="",$E8="",N($E8)&lt;=0),"",(X8-ABS(N($F8)))/$E8)</f>
        <v/>
      </c>
      <c r="AP8" s="26" t="str">
        <f aca="false">IF(OR(Y8="",$E8="",N($E8)&lt;=0),"",(Y8-ABS(N($F8)))/$E8)</f>
        <v/>
      </c>
    </row>
    <row r="9" customFormat="false" ht="15" hidden="false" customHeight="true" outlineLevel="0" collapsed="false">
      <c r="A9" s="20" t="s">
        <v>60</v>
      </c>
      <c r="B9" s="10" t="s">
        <v>329</v>
      </c>
      <c r="C9" s="11" t="s">
        <v>330</v>
      </c>
      <c r="D9" s="21" t="n">
        <v>356.985</v>
      </c>
      <c r="E9" s="22" t="n">
        <v>1.288</v>
      </c>
      <c r="F9" s="22" t="n">
        <v>0.073</v>
      </c>
      <c r="G9" s="23" t="n">
        <v>1303</v>
      </c>
      <c r="H9" s="11" t="s">
        <v>331</v>
      </c>
      <c r="I9" s="24" t="n">
        <f aca="false">MATCH(A9,'TEa input'!$A$6:$A$68,0)</f>
        <v>2</v>
      </c>
      <c r="J9" s="25" t="n">
        <f aca="false">IF(INDEX('TEa input'!$E$6:$E$68,$I9)="","",INDEX('TEa input'!$E$6:$E$68,$I9))</f>
        <v>8</v>
      </c>
      <c r="K9" s="25" t="n">
        <f aca="false">IF(INDEX('TEa input'!$G$6:$G$68,$I9)="","",INDEX('TEa input'!$G$6:$G$68,$I9))</f>
        <v>10</v>
      </c>
      <c r="L9" s="25" t="n">
        <f aca="false">IF(INDEX('TEa input'!$I$6:$I$68,$I9)="","",INDEX('TEa input'!$I$6:$I$68,$I9))</f>
        <v>11.5</v>
      </c>
      <c r="M9" s="25" t="str">
        <f aca="false">IF(INDEX('TEa input'!$K$6:$K$68,$I9)="","",INDEX('TEa input'!$K$6:$K$68,$I9))</f>
        <v/>
      </c>
      <c r="N9" s="25" t="n">
        <f aca="false">IF(INDEX('TEa input'!$M$6:$M$68,$I9)="","",INDEX('TEa input'!$M$6:$M$68,$I9))</f>
        <v>8</v>
      </c>
      <c r="O9" s="25" t="n">
        <f aca="false">IF(INDEX('TEa input'!$O$6:$O$68,$I9)="","",INDEX('TEa input'!$O$6:$O$68,$I9))</f>
        <v>12</v>
      </c>
      <c r="P9" s="25" t="n">
        <f aca="false">IF(INDEX('TEa input'!$Q$6:$Q$68,$I9)="","",INDEX('TEa input'!$Q$6:$Q$68,$I9))</f>
        <v>15</v>
      </c>
      <c r="Q9" s="25" t="n">
        <f aca="false">IF(INDEX('TEa input'!$R$6:$R$68,$I9)="","",INDEX('TEa input'!$R$6:$R$68,$I9))</f>
        <v>10.9</v>
      </c>
      <c r="R9" s="25" t="n">
        <f aca="false">IF(INDEX('TEa input'!$T$6:$T$68,$I9)="","",INDEX('TEa input'!$T$6:$T$68,$I9))</f>
        <v>20</v>
      </c>
      <c r="S9" s="25" t="n">
        <f aca="false">IF(INDEX('TEa input'!$Y$6:$Y$68,$I9)="","",INDEX('TEa input'!$Y$6:$Y$68,$I9))</f>
        <v>3.90130205147769</v>
      </c>
      <c r="T9" s="25" t="n">
        <f aca="false">IF(INDEX('TEa input'!$Z$6:$Z$68,$I9)="","",INDEX('TEa input'!$Z$6:$Z$68,$I9))</f>
        <v>7.80260410295537</v>
      </c>
      <c r="U9" s="25" t="n">
        <f aca="false">IF(INDEX('TEa input'!$AA$6:$AA$68,$I9)="","",INDEX('TEa input'!$AA$6:$AA$68,$I9))</f>
        <v>11.7039061544331</v>
      </c>
      <c r="V9" s="25" t="str">
        <f aca="false">IF(INDEX('TEa input'!$AB$6:$AB$68,$I9)="","",INDEX('TEa input'!$AB$6:$AB$68,$I9))</f>
        <v/>
      </c>
      <c r="W9" s="25" t="n">
        <f aca="false">IF(INDEX('TEa input'!$AC$6:$AC$68,$I9)="","",INDEX('TEa input'!$AC$6:$AC$68,$I9))</f>
        <v>8.87</v>
      </c>
      <c r="X9" s="25" t="str">
        <f aca="false">IF(INDEX('TEa input'!$AD$6:$AD$68,$I9)="","",INDEX('TEa input'!$AD$6:$AD$68,$I9))</f>
        <v/>
      </c>
      <c r="Y9" s="25" t="str">
        <f aca="false">IF(INDEX('TEa input'!$AF$6:$AF$68,$I9)="","",INDEX('TEa input'!$AF$6:$AF$68,$I9))</f>
        <v/>
      </c>
      <c r="AA9" s="26" t="n">
        <f aca="false">IF(OR(J9="",$E9="",N($E9)&lt;=0),"",(J9-ABS(N($F9)))/$E9)</f>
        <v>6.15450310559006</v>
      </c>
      <c r="AB9" s="26" t="n">
        <f aca="false">IF(OR(K9="",$E9="",N($E9)&lt;=0),"",(K9-ABS(N($F9)))/$E9)</f>
        <v>7.70729813664596</v>
      </c>
      <c r="AC9" s="26" t="n">
        <f aca="false">IF(OR(L9="",$E9="",N($E9)&lt;=0),"",(L9-ABS(N($F9)))/$E9)</f>
        <v>8.87189440993789</v>
      </c>
      <c r="AD9" s="26" t="str">
        <f aca="false">IF(OR(M9="",$E9="",N($E9)&lt;=0),"",(M9-ABS(N($F9)))/$E9)</f>
        <v/>
      </c>
      <c r="AE9" s="26" t="n">
        <f aca="false">IF(OR(N9="",$E9="",N($E9)&lt;=0),"",(N9-ABS(N($F9)))/$E9)</f>
        <v>6.15450310559006</v>
      </c>
      <c r="AF9" s="26" t="n">
        <f aca="false">IF(OR(O9="",$E9="",N($E9)&lt;=0),"",(O9-ABS(N($F9)))/$E9)</f>
        <v>9.26009316770186</v>
      </c>
      <c r="AG9" s="26" t="n">
        <f aca="false">IF(OR(P9="",$E9="",N($E9)&lt;=0),"",(P9-ABS(N($F9)))/$E9)</f>
        <v>11.5892857142857</v>
      </c>
      <c r="AH9" s="26" t="n">
        <f aca="false">IF(OR(Q9="",$E9="",N($E9)&lt;=0),"",(Q9-ABS(N($F9)))/$E9)</f>
        <v>8.40605590062112</v>
      </c>
      <c r="AI9" s="26" t="n">
        <f aca="false">IF(OR(R9="",$E9="",N($E9)&lt;=0),"",(R9-ABS(N($F9)))/$E9)</f>
        <v>15.4712732919255</v>
      </c>
      <c r="AJ9" s="26" t="n">
        <f aca="false">IF(OR(S9="",$E9="",N($E9)&lt;=0),"",(S9-ABS(N($F9)))/$E9)</f>
        <v>2.97228420145783</v>
      </c>
      <c r="AK9" s="26" t="n">
        <f aca="false">IF(OR(T9="",$E9="",N($E9)&lt;=0),"",(T9-ABS(N($F9)))/$E9)</f>
        <v>6.0012454215492</v>
      </c>
      <c r="AL9" s="26" t="n">
        <f aca="false">IF(OR(U9="",$E9="",N($E9)&lt;=0),"",(U9-ABS(N($F9)))/$E9)</f>
        <v>9.03020664164057</v>
      </c>
      <c r="AM9" s="26" t="str">
        <f aca="false">IF(OR(V9="",$E9="",N($E9)&lt;=0),"",(V9-ABS(N($F9)))/$E9)</f>
        <v/>
      </c>
      <c r="AN9" s="26" t="n">
        <f aca="false">IF(OR(W9="",$E9="",N($E9)&lt;=0),"",(W9-ABS(N($F9)))/$E9)</f>
        <v>6.82996894409938</v>
      </c>
      <c r="AO9" s="26" t="str">
        <f aca="false">IF(OR(X9="",$E9="",N($E9)&lt;=0),"",(X9-ABS(N($F9)))/$E9)</f>
        <v/>
      </c>
      <c r="AP9" s="26" t="str">
        <f aca="false">IF(OR(Y9="",$E9="",N($E9)&lt;=0),"",(Y9-ABS(N($F9)))/$E9)</f>
        <v/>
      </c>
    </row>
    <row r="10" customFormat="false" ht="15" hidden="false" customHeight="true" outlineLevel="0" collapsed="false">
      <c r="A10" s="20" t="s">
        <v>68</v>
      </c>
      <c r="B10" s="10" t="s">
        <v>326</v>
      </c>
      <c r="C10" s="11" t="s">
        <v>327</v>
      </c>
      <c r="D10" s="21" t="n">
        <v>53.6702</v>
      </c>
      <c r="E10" s="22" t="n">
        <v>2.446</v>
      </c>
      <c r="F10" s="22" t="n">
        <v>0.935</v>
      </c>
      <c r="G10" s="23" t="n">
        <v>1180</v>
      </c>
      <c r="H10" s="11" t="s">
        <v>332</v>
      </c>
      <c r="I10" s="24" t="n">
        <f aca="false">MATCH(A10,'TEa input'!$A$6:$A$68,0)</f>
        <v>3</v>
      </c>
      <c r="J10" s="25" t="n">
        <f aca="false">IF(INDEX('TEa input'!$E$6:$E$68,$I10)="","",INDEX('TEa input'!$E$6:$E$68,$I10))</f>
        <v>12</v>
      </c>
      <c r="K10" s="25" t="n">
        <f aca="false">IF(INDEX('TEa input'!$G$6:$G$68,$I10)="","",INDEX('TEa input'!$G$6:$G$68,$I10))</f>
        <v>15</v>
      </c>
      <c r="L10" s="25" t="n">
        <f aca="false">IF(INDEX('TEa input'!$I$6:$I$68,$I10)="","",INDEX('TEa input'!$I$6:$I$68,$I10))</f>
        <v>11.5</v>
      </c>
      <c r="M10" s="25" t="str">
        <f aca="false">IF(INDEX('TEa input'!$K$6:$K$68,$I10)="","",INDEX('TEa input'!$K$6:$K$68,$I10))</f>
        <v/>
      </c>
      <c r="N10" s="25" t="n">
        <f aca="false">IF(INDEX('TEa input'!$M$6:$M$68,$I10)="","",INDEX('TEa input'!$M$6:$M$68,$I10))</f>
        <v>12</v>
      </c>
      <c r="O10" s="25" t="n">
        <f aca="false">IF(INDEX('TEa input'!$O$6:$O$68,$I10)="","",INDEX('TEa input'!$O$6:$O$68,$I10))</f>
        <v>15</v>
      </c>
      <c r="P10" s="25" t="n">
        <f aca="false">IF(INDEX('TEa input'!$Q$6:$Q$68,$I10)="","",INDEX('TEa input'!$Q$6:$Q$68,$I10))</f>
        <v>15</v>
      </c>
      <c r="Q10" s="25" t="n">
        <f aca="false">IF(INDEX('TEa input'!$R$6:$R$68,$I10)="","",INDEX('TEa input'!$R$6:$R$68,$I10))</f>
        <v>13.3</v>
      </c>
      <c r="R10" s="25" t="n">
        <f aca="false">IF(INDEX('TEa input'!$T$6:$T$68,$I10)="","",INDEX('TEa input'!$T$6:$T$68,$I10))</f>
        <v>20</v>
      </c>
      <c r="S10" s="25" t="n">
        <f aca="false">IF(INDEX('TEa input'!$Y$6:$Y$68,$I10)="","",INDEX('TEa input'!$Y$6:$Y$68,$I10))</f>
        <v>9.1496158429273</v>
      </c>
      <c r="T10" s="25" t="n">
        <f aca="false">IF(INDEX('TEa input'!$Z$6:$Z$68,$I10)="","",INDEX('TEa input'!$Z$6:$Z$68,$I10))</f>
        <v>18.2992316858546</v>
      </c>
      <c r="U10" s="25" t="n">
        <f aca="false">IF(INDEX('TEa input'!$AA$6:$AA$68,$I10)="","",INDEX('TEa input'!$AA$6:$AA$68,$I10))</f>
        <v>27.4488475287819</v>
      </c>
      <c r="V10" s="25" t="str">
        <f aca="false">IF(INDEX('TEa input'!$AB$6:$AB$68,$I10)="","",INDEX('TEa input'!$AB$6:$AB$68,$I10))</f>
        <v/>
      </c>
      <c r="W10" s="25" t="n">
        <f aca="false">IF(INDEX('TEa input'!$AC$6:$AC$68,$I10)="","",INDEX('TEa input'!$AC$6:$AC$68,$I10))</f>
        <v>27.48</v>
      </c>
      <c r="X10" s="25" t="str">
        <f aca="false">IF(INDEX('TEa input'!$AD$6:$AD$68,$I10)="","",INDEX('TEa input'!$AD$6:$AD$68,$I10))</f>
        <v/>
      </c>
      <c r="Y10" s="25" t="str">
        <f aca="false">IF(INDEX('TEa input'!$AF$6:$AF$68,$I10)="","",INDEX('TEa input'!$AF$6:$AF$68,$I10))</f>
        <v/>
      </c>
      <c r="AA10" s="26" t="n">
        <f aca="false">IF(OR(J10="",$E10="",N($E10)&lt;=0),"",(J10-ABS(N($F10)))/$E10)</f>
        <v>4.52371218315617</v>
      </c>
      <c r="AB10" s="26" t="n">
        <f aca="false">IF(OR(K10="",$E10="",N($E10)&lt;=0),"",(K10-ABS(N($F10)))/$E10)</f>
        <v>5.75020441537204</v>
      </c>
      <c r="AC10" s="26" t="n">
        <f aca="false">IF(OR(L10="",$E10="",N($E10)&lt;=0),"",(L10-ABS(N($F10)))/$E10)</f>
        <v>4.3192968111202</v>
      </c>
      <c r="AD10" s="26" t="str">
        <f aca="false">IF(OR(M10="",$E10="",N($E10)&lt;=0),"",(M10-ABS(N($F10)))/$E10)</f>
        <v/>
      </c>
      <c r="AE10" s="26" t="n">
        <f aca="false">IF(OR(N10="",$E10="",N($E10)&lt;=0),"",(N10-ABS(N($F10)))/$E10)</f>
        <v>4.52371218315617</v>
      </c>
      <c r="AF10" s="26" t="n">
        <f aca="false">IF(OR(O10="",$E10="",N($E10)&lt;=0),"",(O10-ABS(N($F10)))/$E10)</f>
        <v>5.75020441537204</v>
      </c>
      <c r="AG10" s="26" t="n">
        <f aca="false">IF(OR(P10="",$E10="",N($E10)&lt;=0),"",(P10-ABS(N($F10)))/$E10)</f>
        <v>5.75020441537204</v>
      </c>
      <c r="AH10" s="26" t="n">
        <f aca="false">IF(OR(Q10="",$E10="",N($E10)&lt;=0),"",(Q10-ABS(N($F10)))/$E10)</f>
        <v>5.05519215044971</v>
      </c>
      <c r="AI10" s="26" t="n">
        <f aca="false">IF(OR(R10="",$E10="",N($E10)&lt;=0),"",(R10-ABS(N($F10)))/$E10)</f>
        <v>7.79435813573181</v>
      </c>
      <c r="AJ10" s="26" t="n">
        <f aca="false">IF(OR(S10="",$E10="",N($E10)&lt;=0),"",(S10-ABS(N($F10)))/$E10)</f>
        <v>3.35838750732923</v>
      </c>
      <c r="AK10" s="26" t="n">
        <f aca="false">IF(OR(T10="",$E10="",N($E10)&lt;=0),"",(T10-ABS(N($F10)))/$E10)</f>
        <v>7.09903176036574</v>
      </c>
      <c r="AL10" s="26" t="n">
        <f aca="false">IF(OR(U10="",$E10="",N($E10)&lt;=0),"",(U10-ABS(N($F10)))/$E10)</f>
        <v>10.8396760134023</v>
      </c>
      <c r="AM10" s="26" t="str">
        <f aca="false">IF(OR(V10="",$E10="",N($E10)&lt;=0),"",(V10-ABS(N($F10)))/$E10)</f>
        <v/>
      </c>
      <c r="AN10" s="26" t="n">
        <f aca="false">IF(OR(W10="",$E10="",N($E10)&lt;=0),"",(W10-ABS(N($F10)))/$E10)</f>
        <v>10.85241210139</v>
      </c>
      <c r="AO10" s="26" t="str">
        <f aca="false">IF(OR(X10="",$E10="",N($E10)&lt;=0),"",(X10-ABS(N($F10)))/$E10)</f>
        <v/>
      </c>
      <c r="AP10" s="26" t="str">
        <f aca="false">IF(OR(Y10="",$E10="",N($E10)&lt;=0),"",(Y10-ABS(N($F10)))/$E10)</f>
        <v/>
      </c>
    </row>
    <row r="11" customFormat="false" ht="15" hidden="false" customHeight="true" outlineLevel="0" collapsed="false">
      <c r="A11" s="20" t="s">
        <v>68</v>
      </c>
      <c r="B11" s="10" t="s">
        <v>329</v>
      </c>
      <c r="C11" s="11" t="s">
        <v>330</v>
      </c>
      <c r="D11" s="21" t="n">
        <v>166.062</v>
      </c>
      <c r="E11" s="22" t="n">
        <v>2.171</v>
      </c>
      <c r="F11" s="22" t="n">
        <v>1.059</v>
      </c>
      <c r="G11" s="23" t="n">
        <v>1161</v>
      </c>
      <c r="H11" s="11" t="s">
        <v>332</v>
      </c>
      <c r="I11" s="24" t="n">
        <f aca="false">MATCH(A11,'TEa input'!$A$6:$A$68,0)</f>
        <v>3</v>
      </c>
      <c r="J11" s="25" t="n">
        <f aca="false">IF(INDEX('TEa input'!$E$6:$E$68,$I11)="","",INDEX('TEa input'!$E$6:$E$68,$I11))</f>
        <v>12</v>
      </c>
      <c r="K11" s="25" t="n">
        <f aca="false">IF(INDEX('TEa input'!$G$6:$G$68,$I11)="","",INDEX('TEa input'!$G$6:$G$68,$I11))</f>
        <v>15</v>
      </c>
      <c r="L11" s="25" t="n">
        <f aca="false">IF(INDEX('TEa input'!$I$6:$I$68,$I11)="","",INDEX('TEa input'!$I$6:$I$68,$I11))</f>
        <v>11.5</v>
      </c>
      <c r="M11" s="25" t="str">
        <f aca="false">IF(INDEX('TEa input'!$K$6:$K$68,$I11)="","",INDEX('TEa input'!$K$6:$K$68,$I11))</f>
        <v/>
      </c>
      <c r="N11" s="25" t="n">
        <f aca="false">IF(INDEX('TEa input'!$M$6:$M$68,$I11)="","",INDEX('TEa input'!$M$6:$M$68,$I11))</f>
        <v>12</v>
      </c>
      <c r="O11" s="25" t="n">
        <f aca="false">IF(INDEX('TEa input'!$O$6:$O$68,$I11)="","",INDEX('TEa input'!$O$6:$O$68,$I11))</f>
        <v>15</v>
      </c>
      <c r="P11" s="25" t="n">
        <f aca="false">IF(INDEX('TEa input'!$Q$6:$Q$68,$I11)="","",INDEX('TEa input'!$Q$6:$Q$68,$I11))</f>
        <v>15</v>
      </c>
      <c r="Q11" s="25" t="n">
        <f aca="false">IF(INDEX('TEa input'!$R$6:$R$68,$I11)="","",INDEX('TEa input'!$R$6:$R$68,$I11))</f>
        <v>13.3</v>
      </c>
      <c r="R11" s="25" t="n">
        <f aca="false">IF(INDEX('TEa input'!$T$6:$T$68,$I11)="","",INDEX('TEa input'!$T$6:$T$68,$I11))</f>
        <v>20</v>
      </c>
      <c r="S11" s="25" t="n">
        <f aca="false">IF(INDEX('TEa input'!$Y$6:$Y$68,$I11)="","",INDEX('TEa input'!$Y$6:$Y$68,$I11))</f>
        <v>9.1496158429273</v>
      </c>
      <c r="T11" s="25" t="n">
        <f aca="false">IF(INDEX('TEa input'!$Z$6:$Z$68,$I11)="","",INDEX('TEa input'!$Z$6:$Z$68,$I11))</f>
        <v>18.2992316858546</v>
      </c>
      <c r="U11" s="25" t="n">
        <f aca="false">IF(INDEX('TEa input'!$AA$6:$AA$68,$I11)="","",INDEX('TEa input'!$AA$6:$AA$68,$I11))</f>
        <v>27.4488475287819</v>
      </c>
      <c r="V11" s="25" t="str">
        <f aca="false">IF(INDEX('TEa input'!$AB$6:$AB$68,$I11)="","",INDEX('TEa input'!$AB$6:$AB$68,$I11))</f>
        <v/>
      </c>
      <c r="W11" s="25" t="n">
        <f aca="false">IF(INDEX('TEa input'!$AC$6:$AC$68,$I11)="","",INDEX('TEa input'!$AC$6:$AC$68,$I11))</f>
        <v>27.48</v>
      </c>
      <c r="X11" s="25" t="str">
        <f aca="false">IF(INDEX('TEa input'!$AD$6:$AD$68,$I11)="","",INDEX('TEa input'!$AD$6:$AD$68,$I11))</f>
        <v/>
      </c>
      <c r="Y11" s="25" t="str">
        <f aca="false">IF(INDEX('TEa input'!$AF$6:$AF$68,$I11)="","",INDEX('TEa input'!$AF$6:$AF$68,$I11))</f>
        <v/>
      </c>
      <c r="AA11" s="26" t="n">
        <f aca="false">IF(OR(J11="",$E11="",N($E11)&lt;=0),"",(J11-ABS(N($F11)))/$E11)</f>
        <v>5.03961308152925</v>
      </c>
      <c r="AB11" s="26" t="n">
        <f aca="false">IF(OR(K11="",$E11="",N($E11)&lt;=0),"",(K11-ABS(N($F11)))/$E11)</f>
        <v>6.42146476278213</v>
      </c>
      <c r="AC11" s="26" t="n">
        <f aca="false">IF(OR(L11="",$E11="",N($E11)&lt;=0),"",(L11-ABS(N($F11)))/$E11)</f>
        <v>4.8093044679871</v>
      </c>
      <c r="AD11" s="26" t="str">
        <f aca="false">IF(OR(M11="",$E11="",N($E11)&lt;=0),"",(M11-ABS(N($F11)))/$E11)</f>
        <v/>
      </c>
      <c r="AE11" s="26" t="n">
        <f aca="false">IF(OR(N11="",$E11="",N($E11)&lt;=0),"",(N11-ABS(N($F11)))/$E11)</f>
        <v>5.03961308152925</v>
      </c>
      <c r="AF11" s="26" t="n">
        <f aca="false">IF(OR(O11="",$E11="",N($E11)&lt;=0),"",(O11-ABS(N($F11)))/$E11)</f>
        <v>6.42146476278213</v>
      </c>
      <c r="AG11" s="26" t="n">
        <f aca="false">IF(OR(P11="",$E11="",N($E11)&lt;=0),"",(P11-ABS(N($F11)))/$E11)</f>
        <v>6.42146476278213</v>
      </c>
      <c r="AH11" s="26" t="n">
        <f aca="false">IF(OR(Q11="",$E11="",N($E11)&lt;=0),"",(Q11-ABS(N($F11)))/$E11)</f>
        <v>5.63841547673883</v>
      </c>
      <c r="AI11" s="26" t="n">
        <f aca="false">IF(OR(R11="",$E11="",N($E11)&lt;=0),"",(R11-ABS(N($F11)))/$E11)</f>
        <v>8.72455089820359</v>
      </c>
      <c r="AJ11" s="26" t="n">
        <f aca="false">IF(OR(S11="",$E11="",N($E11)&lt;=0),"",(S11-ABS(N($F11)))/$E11)</f>
        <v>3.72667703497342</v>
      </c>
      <c r="AK11" s="26" t="n">
        <f aca="false">IF(OR(T11="",$E11="",N($E11)&lt;=0),"",(T11-ABS(N($F11)))/$E11)</f>
        <v>7.94114771342912</v>
      </c>
      <c r="AL11" s="26" t="n">
        <f aca="false">IF(OR(U11="",$E11="",N($E11)&lt;=0),"",(U11-ABS(N($F11)))/$E11)</f>
        <v>12.1556183918848</v>
      </c>
      <c r="AM11" s="26" t="str">
        <f aca="false">IF(OR(V11="",$E11="",N($E11)&lt;=0),"",(V11-ABS(N($F11)))/$E11)</f>
        <v/>
      </c>
      <c r="AN11" s="26" t="n">
        <f aca="false">IF(OR(W11="",$E11="",N($E11)&lt;=0),"",(W11-ABS(N($F11)))/$E11)</f>
        <v>12.1699677567941</v>
      </c>
      <c r="AO11" s="26" t="str">
        <f aca="false">IF(OR(X11="",$E11="",N($E11)&lt;=0),"",(X11-ABS(N($F11)))/$E11)</f>
        <v/>
      </c>
      <c r="AP11" s="26" t="str">
        <f aca="false">IF(OR(Y11="",$E11="",N($E11)&lt;=0),"",(Y11-ABS(N($F11)))/$E11)</f>
        <v/>
      </c>
    </row>
    <row r="12" customFormat="false" ht="15" hidden="false" customHeight="true" outlineLevel="0" collapsed="false">
      <c r="A12" s="20" t="s">
        <v>75</v>
      </c>
      <c r="B12" s="10" t="s">
        <v>326</v>
      </c>
      <c r="C12" s="11" t="s">
        <v>327</v>
      </c>
      <c r="D12" s="21" t="n">
        <v>5.30429</v>
      </c>
      <c r="E12" s="22" t="n">
        <v>1.932</v>
      </c>
      <c r="F12" s="22" t="n">
        <v>0.478</v>
      </c>
      <c r="G12" s="23" t="n">
        <v>882</v>
      </c>
      <c r="H12" s="11" t="s">
        <v>333</v>
      </c>
      <c r="I12" s="24" t="n">
        <f aca="false">MATCH(A12,'TEa input'!$A$6:$A$68,0)</f>
        <v>4</v>
      </c>
      <c r="J12" s="25" t="n">
        <f aca="false">IF(INDEX('TEa input'!$E$6:$E$68,$I12)="","",INDEX('TEa input'!$E$6:$E$68,$I12))</f>
        <v>6</v>
      </c>
      <c r="K12" s="25" t="n">
        <f aca="false">IF(INDEX('TEa input'!$G$6:$G$68,$I12)="","",INDEX('TEa input'!$G$6:$G$68,$I12))</f>
        <v>8</v>
      </c>
      <c r="L12" s="25" t="n">
        <f aca="false">IF(INDEX('TEa input'!$I$6:$I$68,$I12)="","",INDEX('TEa input'!$I$6:$I$68,$I12))</f>
        <v>5</v>
      </c>
      <c r="M12" s="25" t="str">
        <f aca="false">IF(INDEX('TEa input'!$K$6:$K$68,$I12)="","",INDEX('TEa input'!$K$6:$K$68,$I12))</f>
        <v/>
      </c>
      <c r="N12" s="25" t="n">
        <f aca="false">IF(INDEX('TEa input'!$M$6:$M$68,$I12)="","",INDEX('TEa input'!$M$6:$M$68,$I12))</f>
        <v>8</v>
      </c>
      <c r="O12" s="25" t="n">
        <f aca="false">IF(INDEX('TEa input'!$O$6:$O$68,$I12)="","",INDEX('TEa input'!$O$6:$O$68,$I12))</f>
        <v>7</v>
      </c>
      <c r="P12" s="25" t="n">
        <f aca="false">IF(INDEX('TEa input'!$Q$6:$Q$68,$I12)="","",INDEX('TEa input'!$Q$6:$Q$68,$I12))</f>
        <v>9</v>
      </c>
      <c r="Q12" s="25" t="n">
        <f aca="false">IF(INDEX('TEa input'!$R$6:$R$68,$I12)="","",INDEX('TEa input'!$R$6:$R$68,$I12))</f>
        <v>6.3</v>
      </c>
      <c r="R12" s="25" t="n">
        <f aca="false">IF(INDEX('TEa input'!$T$6:$T$68,$I12)="","",INDEX('TEa input'!$T$6:$T$68,$I12))</f>
        <v>10</v>
      </c>
      <c r="S12" s="25" t="n">
        <f aca="false">IF(INDEX('TEa input'!$Y$6:$Y$68,$I12)="","",INDEX('TEa input'!$Y$6:$Y$68,$I12))</f>
        <v>3.20459800460389</v>
      </c>
      <c r="T12" s="25" t="n">
        <f aca="false">IF(INDEX('TEa input'!$Z$6:$Z$68,$I12)="","",INDEX('TEa input'!$Z$6:$Z$68,$I12))</f>
        <v>6.40919600920777</v>
      </c>
      <c r="U12" s="25" t="n">
        <f aca="false">IF(INDEX('TEa input'!$AA$6:$AA$68,$I12)="","",INDEX('TEa input'!$AA$6:$AA$68,$I12))</f>
        <v>9.61379401381166</v>
      </c>
      <c r="V12" s="25" t="str">
        <f aca="false">IF(INDEX('TEa input'!$AB$6:$AB$68,$I12)="","",INDEX('TEa input'!$AB$6:$AB$68,$I12))</f>
        <v/>
      </c>
      <c r="W12" s="25" t="n">
        <f aca="false">IF(INDEX('TEa input'!$AC$6:$AC$68,$I12)="","",INDEX('TEa input'!$AC$6:$AC$68,$I12))</f>
        <v>6.96</v>
      </c>
      <c r="X12" s="25" t="str">
        <f aca="false">IF(INDEX('TEa input'!$AD$6:$AD$68,$I12)="","",INDEX('TEa input'!$AD$6:$AD$68,$I12))</f>
        <v/>
      </c>
      <c r="Y12" s="25" t="str">
        <f aca="false">IF(INDEX('TEa input'!$AF$6:$AF$68,$I12)="","",INDEX('TEa input'!$AF$6:$AF$68,$I12))</f>
        <v/>
      </c>
      <c r="AA12" s="26" t="n">
        <f aca="false">IF(OR(J12="",$E12="",N($E12)&lt;=0),"",(J12-ABS(N($F12)))/$E12)</f>
        <v>2.85817805383023</v>
      </c>
      <c r="AB12" s="26" t="n">
        <f aca="false">IF(OR(K12="",$E12="",N($E12)&lt;=0),"",(K12-ABS(N($F12)))/$E12)</f>
        <v>3.89337474120083</v>
      </c>
      <c r="AC12" s="26" t="n">
        <f aca="false">IF(OR(L12="",$E12="",N($E12)&lt;=0),"",(L12-ABS(N($F12)))/$E12)</f>
        <v>2.34057971014493</v>
      </c>
      <c r="AD12" s="26" t="str">
        <f aca="false">IF(OR(M12="",$E12="",N($E12)&lt;=0),"",(M12-ABS(N($F12)))/$E12)</f>
        <v/>
      </c>
      <c r="AE12" s="26" t="n">
        <f aca="false">IF(OR(N12="",$E12="",N($E12)&lt;=0),"",(N12-ABS(N($F12)))/$E12)</f>
        <v>3.89337474120083</v>
      </c>
      <c r="AF12" s="26" t="n">
        <f aca="false">IF(OR(O12="",$E12="",N($E12)&lt;=0),"",(O12-ABS(N($F12)))/$E12)</f>
        <v>3.37577639751553</v>
      </c>
      <c r="AG12" s="26" t="n">
        <f aca="false">IF(OR(P12="",$E12="",N($E12)&lt;=0),"",(P12-ABS(N($F12)))/$E12)</f>
        <v>4.41097308488613</v>
      </c>
      <c r="AH12" s="26" t="n">
        <f aca="false">IF(OR(Q12="",$E12="",N($E12)&lt;=0),"",(Q12-ABS(N($F12)))/$E12)</f>
        <v>3.01345755693582</v>
      </c>
      <c r="AI12" s="26" t="n">
        <f aca="false">IF(OR(R12="",$E12="",N($E12)&lt;=0),"",(R12-ABS(N($F12)))/$E12)</f>
        <v>4.92857142857143</v>
      </c>
      <c r="AJ12" s="26" t="n">
        <f aca="false">IF(OR(S12="",$E12="",N($E12)&lt;=0),"",(S12-ABS(N($F12)))/$E12)</f>
        <v>1.41128261107862</v>
      </c>
      <c r="AK12" s="26" t="n">
        <f aca="false">IF(OR(T12="",$E12="",N($E12)&lt;=0),"",(T12-ABS(N($F12)))/$E12)</f>
        <v>3.06997723043881</v>
      </c>
      <c r="AL12" s="26" t="n">
        <f aca="false">IF(OR(U12="",$E12="",N($E12)&lt;=0),"",(U12-ABS(N($F12)))/$E12)</f>
        <v>4.728671849799</v>
      </c>
      <c r="AM12" s="26" t="str">
        <f aca="false">IF(OR(V12="",$E12="",N($E12)&lt;=0),"",(V12-ABS(N($F12)))/$E12)</f>
        <v/>
      </c>
      <c r="AN12" s="26" t="n">
        <f aca="false">IF(OR(W12="",$E12="",N($E12)&lt;=0),"",(W12-ABS(N($F12)))/$E12)</f>
        <v>3.35507246376812</v>
      </c>
      <c r="AO12" s="26" t="str">
        <f aca="false">IF(OR(X12="",$E12="",N($E12)&lt;=0),"",(X12-ABS(N($F12)))/$E12)</f>
        <v/>
      </c>
      <c r="AP12" s="26" t="str">
        <f aca="false">IF(OR(Y12="",$E12="",N($E12)&lt;=0),"",(Y12-ABS(N($F12)))/$E12)</f>
        <v/>
      </c>
    </row>
    <row r="13" customFormat="false" ht="15" hidden="false" customHeight="true" outlineLevel="0" collapsed="false">
      <c r="A13" s="20" t="s">
        <v>75</v>
      </c>
      <c r="B13" s="10" t="s">
        <v>329</v>
      </c>
      <c r="C13" s="11" t="s">
        <v>330</v>
      </c>
      <c r="D13" s="21" t="n">
        <v>14.679</v>
      </c>
      <c r="E13" s="22" t="n">
        <v>1.495</v>
      </c>
      <c r="F13" s="22" t="n">
        <v>0.322</v>
      </c>
      <c r="G13" s="23" t="n">
        <v>881</v>
      </c>
      <c r="H13" s="11" t="s">
        <v>331</v>
      </c>
      <c r="I13" s="24" t="n">
        <f aca="false">MATCH(A13,'TEa input'!$A$6:$A$68,0)</f>
        <v>4</v>
      </c>
      <c r="J13" s="25" t="n">
        <f aca="false">IF(INDEX('TEa input'!$E$6:$E$68,$I13)="","",INDEX('TEa input'!$E$6:$E$68,$I13))</f>
        <v>6</v>
      </c>
      <c r="K13" s="25" t="n">
        <f aca="false">IF(INDEX('TEa input'!$G$6:$G$68,$I13)="","",INDEX('TEa input'!$G$6:$G$68,$I13))</f>
        <v>8</v>
      </c>
      <c r="L13" s="25" t="n">
        <f aca="false">IF(INDEX('TEa input'!$I$6:$I$68,$I13)="","",INDEX('TEa input'!$I$6:$I$68,$I13))</f>
        <v>5</v>
      </c>
      <c r="M13" s="25" t="str">
        <f aca="false">IF(INDEX('TEa input'!$K$6:$K$68,$I13)="","",INDEX('TEa input'!$K$6:$K$68,$I13))</f>
        <v/>
      </c>
      <c r="N13" s="25" t="n">
        <f aca="false">IF(INDEX('TEa input'!$M$6:$M$68,$I13)="","",INDEX('TEa input'!$M$6:$M$68,$I13))</f>
        <v>8</v>
      </c>
      <c r="O13" s="25" t="n">
        <f aca="false">IF(INDEX('TEa input'!$O$6:$O$68,$I13)="","",INDEX('TEa input'!$O$6:$O$68,$I13))</f>
        <v>7</v>
      </c>
      <c r="P13" s="25" t="n">
        <f aca="false">IF(INDEX('TEa input'!$Q$6:$Q$68,$I13)="","",INDEX('TEa input'!$Q$6:$Q$68,$I13))</f>
        <v>9</v>
      </c>
      <c r="Q13" s="25" t="n">
        <f aca="false">IF(INDEX('TEa input'!$R$6:$R$68,$I13)="","",INDEX('TEa input'!$R$6:$R$68,$I13))</f>
        <v>6.3</v>
      </c>
      <c r="R13" s="25" t="n">
        <f aca="false">IF(INDEX('TEa input'!$T$6:$T$68,$I13)="","",INDEX('TEa input'!$T$6:$T$68,$I13))</f>
        <v>10</v>
      </c>
      <c r="S13" s="25" t="n">
        <f aca="false">IF(INDEX('TEa input'!$Y$6:$Y$68,$I13)="","",INDEX('TEa input'!$Y$6:$Y$68,$I13))</f>
        <v>3.20459800460389</v>
      </c>
      <c r="T13" s="25" t="n">
        <f aca="false">IF(INDEX('TEa input'!$Z$6:$Z$68,$I13)="","",INDEX('TEa input'!$Z$6:$Z$68,$I13))</f>
        <v>6.40919600920777</v>
      </c>
      <c r="U13" s="25" t="n">
        <f aca="false">IF(INDEX('TEa input'!$AA$6:$AA$68,$I13)="","",INDEX('TEa input'!$AA$6:$AA$68,$I13))</f>
        <v>9.61379401381166</v>
      </c>
      <c r="V13" s="25" t="str">
        <f aca="false">IF(INDEX('TEa input'!$AB$6:$AB$68,$I13)="","",INDEX('TEa input'!$AB$6:$AB$68,$I13))</f>
        <v/>
      </c>
      <c r="W13" s="25" t="n">
        <f aca="false">IF(INDEX('TEa input'!$AC$6:$AC$68,$I13)="","",INDEX('TEa input'!$AC$6:$AC$68,$I13))</f>
        <v>6.96</v>
      </c>
      <c r="X13" s="25" t="str">
        <f aca="false">IF(INDEX('TEa input'!$AD$6:$AD$68,$I13)="","",INDEX('TEa input'!$AD$6:$AD$68,$I13))</f>
        <v/>
      </c>
      <c r="Y13" s="25" t="str">
        <f aca="false">IF(INDEX('TEa input'!$AF$6:$AF$68,$I13)="","",INDEX('TEa input'!$AF$6:$AF$68,$I13))</f>
        <v/>
      </c>
      <c r="AA13" s="26" t="n">
        <f aca="false">IF(OR(J13="",$E13="",N($E13)&lt;=0),"",(J13-ABS(N($F13)))/$E13)</f>
        <v>3.79799331103679</v>
      </c>
      <c r="AB13" s="26" t="n">
        <f aca="false">IF(OR(K13="",$E13="",N($E13)&lt;=0),"",(K13-ABS(N($F13)))/$E13)</f>
        <v>5.13578595317726</v>
      </c>
      <c r="AC13" s="26" t="n">
        <f aca="false">IF(OR(L13="",$E13="",N($E13)&lt;=0),"",(L13-ABS(N($F13)))/$E13)</f>
        <v>3.12909698996656</v>
      </c>
      <c r="AD13" s="26" t="str">
        <f aca="false">IF(OR(M13="",$E13="",N($E13)&lt;=0),"",(M13-ABS(N($F13)))/$E13)</f>
        <v/>
      </c>
      <c r="AE13" s="26" t="n">
        <f aca="false">IF(OR(N13="",$E13="",N($E13)&lt;=0),"",(N13-ABS(N($F13)))/$E13)</f>
        <v>5.13578595317726</v>
      </c>
      <c r="AF13" s="26" t="n">
        <f aca="false">IF(OR(O13="",$E13="",N($E13)&lt;=0),"",(O13-ABS(N($F13)))/$E13)</f>
        <v>4.46688963210702</v>
      </c>
      <c r="AG13" s="26" t="n">
        <f aca="false">IF(OR(P13="",$E13="",N($E13)&lt;=0),"",(P13-ABS(N($F13)))/$E13)</f>
        <v>5.80468227424749</v>
      </c>
      <c r="AH13" s="26" t="n">
        <f aca="false">IF(OR(Q13="",$E13="",N($E13)&lt;=0),"",(Q13-ABS(N($F13)))/$E13)</f>
        <v>3.99866220735786</v>
      </c>
      <c r="AI13" s="26" t="n">
        <f aca="false">IF(OR(R13="",$E13="",N($E13)&lt;=0),"",(R13-ABS(N($F13)))/$E13)</f>
        <v>6.47357859531773</v>
      </c>
      <c r="AJ13" s="26" t="n">
        <f aca="false">IF(OR(S13="",$E13="",N($E13)&lt;=0),"",(S13-ABS(N($F13)))/$E13)</f>
        <v>1.92815920040394</v>
      </c>
      <c r="AK13" s="26" t="n">
        <f aca="false">IF(OR(T13="",$E13="",N($E13)&lt;=0),"",(T13-ABS(N($F13)))/$E13)</f>
        <v>4.07170301619249</v>
      </c>
      <c r="AL13" s="26" t="n">
        <f aca="false">IF(OR(U13="",$E13="",N($E13)&lt;=0),"",(U13-ABS(N($F13)))/$E13)</f>
        <v>6.21524683198104</v>
      </c>
      <c r="AM13" s="26" t="str">
        <f aca="false">IF(OR(V13="",$E13="",N($E13)&lt;=0),"",(V13-ABS(N($F13)))/$E13)</f>
        <v/>
      </c>
      <c r="AN13" s="26" t="n">
        <f aca="false">IF(OR(W13="",$E13="",N($E13)&lt;=0),"",(W13-ABS(N($F13)))/$E13)</f>
        <v>4.44013377926421</v>
      </c>
      <c r="AO13" s="26" t="str">
        <f aca="false">IF(OR(X13="",$E13="",N($E13)&lt;=0),"",(X13-ABS(N($F13)))/$E13)</f>
        <v/>
      </c>
      <c r="AP13" s="26" t="str">
        <f aca="false">IF(OR(Y13="",$E13="",N($E13)&lt;=0),"",(Y13-ABS(N($F13)))/$E13)</f>
        <v/>
      </c>
    </row>
    <row r="14" customFormat="false" ht="15" hidden="false" customHeight="true" outlineLevel="0" collapsed="false">
      <c r="A14" s="20" t="s">
        <v>81</v>
      </c>
      <c r="B14" s="10" t="s">
        <v>326</v>
      </c>
      <c r="C14" s="11" t="s">
        <v>327</v>
      </c>
      <c r="D14" s="21" t="n">
        <v>2.24434</v>
      </c>
      <c r="E14" s="22" t="n">
        <v>1.19</v>
      </c>
      <c r="F14" s="22" t="n">
        <v>0.67</v>
      </c>
      <c r="G14" s="23" t="n">
        <v>897</v>
      </c>
      <c r="H14" s="11" t="s">
        <v>331</v>
      </c>
      <c r="I14" s="24" t="n">
        <f aca="false">MATCH(A14,'TEa input'!$A$6:$A$68,0)</f>
        <v>5</v>
      </c>
      <c r="J14" s="25" t="n">
        <f aca="false">IF(INDEX('TEa input'!$E$6:$E$68,$I14)="","",INDEX('TEa input'!$E$6:$E$68,$I14))</f>
        <v>3</v>
      </c>
      <c r="K14" s="25" t="str">
        <f aca="false">IF(INDEX('TEa input'!$G$6:$G$68,$I14)="","",INDEX('TEa input'!$G$6:$G$68,$I14))</f>
        <v/>
      </c>
      <c r="L14" s="25" t="n">
        <f aca="false">IF(INDEX('TEa input'!$I$6:$I$68,$I14)="","",INDEX('TEa input'!$I$6:$I$68,$I14))</f>
        <v>6</v>
      </c>
      <c r="M14" s="25" t="str">
        <f aca="false">IF(INDEX('TEa input'!$K$6:$K$68,$I14)="","",INDEX('TEa input'!$K$6:$K$68,$I14))</f>
        <v/>
      </c>
      <c r="N14" s="25" t="n">
        <f aca="false">IF(INDEX('TEa input'!$M$6:$M$68,$I14)="","",INDEX('TEa input'!$M$6:$M$68,$I14))</f>
        <v>4</v>
      </c>
      <c r="O14" s="25" t="n">
        <f aca="false">IF(INDEX('TEa input'!$O$6:$O$68,$I14)="","",INDEX('TEa input'!$O$6:$O$68,$I14))</f>
        <v>5</v>
      </c>
      <c r="P14" s="25" t="n">
        <f aca="false">IF(INDEX('TEa input'!$Q$6:$Q$68,$I14)="","",INDEX('TEa input'!$Q$6:$Q$68,$I14))</f>
        <v>10</v>
      </c>
      <c r="Q14" s="25" t="n">
        <f aca="false">IF(INDEX('TEa input'!$R$6:$R$68,$I14)="","",INDEX('TEa input'!$R$6:$R$68,$I14))</f>
        <v>5</v>
      </c>
      <c r="R14" s="25" t="n">
        <f aca="false">IF(INDEX('TEa input'!$T$6:$T$68,$I14)="","",INDEX('TEa input'!$T$6:$T$68,$I14))</f>
        <v>10</v>
      </c>
      <c r="S14" s="25" t="n">
        <f aca="false">IF(INDEX('TEa input'!$Y$6:$Y$68,$I14)="","",INDEX('TEa input'!$Y$6:$Y$68,$I14))</f>
        <v>1.1481245184897</v>
      </c>
      <c r="T14" s="25" t="n">
        <f aca="false">IF(INDEX('TEa input'!$Z$6:$Z$68,$I14)="","",INDEX('TEa input'!$Z$6:$Z$68,$I14))</f>
        <v>2.2962490369794</v>
      </c>
      <c r="U14" s="25" t="n">
        <f aca="false">IF(INDEX('TEa input'!$AA$6:$AA$68,$I14)="","",INDEX('TEa input'!$AA$6:$AA$68,$I14))</f>
        <v>3.4443735554691</v>
      </c>
      <c r="V14" s="25" t="str">
        <f aca="false">IF(INDEX('TEa input'!$AB$6:$AB$68,$I14)="","",INDEX('TEa input'!$AB$6:$AB$68,$I14))</f>
        <v/>
      </c>
      <c r="W14" s="25" t="n">
        <f aca="false">IF(INDEX('TEa input'!$AC$6:$AC$68,$I14)="","",INDEX('TEa input'!$AC$6:$AC$68,$I14))</f>
        <v>2.55</v>
      </c>
      <c r="X14" s="25" t="str">
        <f aca="false">IF(INDEX('TEa input'!$AD$6:$AD$68,$I14)="","",INDEX('TEa input'!$AD$6:$AD$68,$I14))</f>
        <v/>
      </c>
      <c r="Y14" s="25" t="str">
        <f aca="false">IF(INDEX('TEa input'!$AF$6:$AF$68,$I14)="","",INDEX('TEa input'!$AF$6:$AF$68,$I14))</f>
        <v/>
      </c>
      <c r="AA14" s="26" t="n">
        <f aca="false">IF(OR(J14="",$E14="",N($E14)&lt;=0),"",(J14-ABS(N($F14)))/$E14)</f>
        <v>1.95798319327731</v>
      </c>
      <c r="AB14" s="26" t="str">
        <f aca="false">IF(OR(K14="",$E14="",N($E14)&lt;=0),"",(K14-ABS(N($F14)))/$E14)</f>
        <v/>
      </c>
      <c r="AC14" s="26" t="n">
        <f aca="false">IF(OR(L14="",$E14="",N($E14)&lt;=0),"",(L14-ABS(N($F14)))/$E14)</f>
        <v>4.47899159663866</v>
      </c>
      <c r="AD14" s="26" t="str">
        <f aca="false">IF(OR(M14="",$E14="",N($E14)&lt;=0),"",(M14-ABS(N($F14)))/$E14)</f>
        <v/>
      </c>
      <c r="AE14" s="26" t="n">
        <f aca="false">IF(OR(N14="",$E14="",N($E14)&lt;=0),"",(N14-ABS(N($F14)))/$E14)</f>
        <v>2.79831932773109</v>
      </c>
      <c r="AF14" s="26" t="n">
        <f aca="false">IF(OR(O14="",$E14="",N($E14)&lt;=0),"",(O14-ABS(N($F14)))/$E14)</f>
        <v>3.63865546218487</v>
      </c>
      <c r="AG14" s="26" t="n">
        <f aca="false">IF(OR(P14="",$E14="",N($E14)&lt;=0),"",(P14-ABS(N($F14)))/$E14)</f>
        <v>7.84033613445378</v>
      </c>
      <c r="AH14" s="26" t="n">
        <f aca="false">IF(OR(Q14="",$E14="",N($E14)&lt;=0),"",(Q14-ABS(N($F14)))/$E14)</f>
        <v>3.63865546218487</v>
      </c>
      <c r="AI14" s="26" t="n">
        <f aca="false">IF(OR(R14="",$E14="",N($E14)&lt;=0),"",(R14-ABS(N($F14)))/$E14)</f>
        <v>7.84033613445378</v>
      </c>
      <c r="AJ14" s="26" t="n">
        <f aca="false">IF(OR(S14="",$E14="",N($E14)&lt;=0),"",(S14-ABS(N($F14)))/$E14)</f>
        <v>0.401785309655209</v>
      </c>
      <c r="AK14" s="26" t="n">
        <f aca="false">IF(OR(T14="",$E14="",N($E14)&lt;=0),"",(T14-ABS(N($F14)))/$E14)</f>
        <v>1.36659582939445</v>
      </c>
      <c r="AL14" s="26" t="n">
        <f aca="false">IF(OR(U14="",$E14="",N($E14)&lt;=0),"",(U14-ABS(N($F14)))/$E14)</f>
        <v>2.33140634913369</v>
      </c>
      <c r="AM14" s="26" t="str">
        <f aca="false">IF(OR(V14="",$E14="",N($E14)&lt;=0),"",(V14-ABS(N($F14)))/$E14)</f>
        <v/>
      </c>
      <c r="AN14" s="26" t="n">
        <f aca="false">IF(OR(W14="",$E14="",N($E14)&lt;=0),"",(W14-ABS(N($F14)))/$E14)</f>
        <v>1.57983193277311</v>
      </c>
      <c r="AO14" s="26" t="str">
        <f aca="false">IF(OR(X14="",$E14="",N($E14)&lt;=0),"",(X14-ABS(N($F14)))/$E14)</f>
        <v/>
      </c>
      <c r="AP14" s="26" t="str">
        <f aca="false">IF(OR(Y14="",$E14="",N($E14)&lt;=0),"",(Y14-ABS(N($F14)))/$E14)</f>
        <v/>
      </c>
    </row>
    <row r="15" customFormat="false" ht="15" hidden="false" customHeight="true" outlineLevel="0" collapsed="false">
      <c r="A15" s="20" t="s">
        <v>81</v>
      </c>
      <c r="B15" s="10" t="s">
        <v>329</v>
      </c>
      <c r="C15" s="11" t="s">
        <v>330</v>
      </c>
      <c r="D15" s="21" t="n">
        <v>3.13051</v>
      </c>
      <c r="E15" s="22" t="n">
        <v>0.998</v>
      </c>
      <c r="F15" s="22" t="n">
        <v>0.476</v>
      </c>
      <c r="G15" s="23" t="n">
        <v>889</v>
      </c>
      <c r="H15" s="11" t="s">
        <v>331</v>
      </c>
      <c r="I15" s="24" t="n">
        <f aca="false">MATCH(A15,'TEa input'!$A$6:$A$68,0)</f>
        <v>5</v>
      </c>
      <c r="J15" s="25" t="n">
        <f aca="false">IF(INDEX('TEa input'!$E$6:$E$68,$I15)="","",INDEX('TEa input'!$E$6:$E$68,$I15))</f>
        <v>3</v>
      </c>
      <c r="K15" s="25" t="str">
        <f aca="false">IF(INDEX('TEa input'!$G$6:$G$68,$I15)="","",INDEX('TEa input'!$G$6:$G$68,$I15))</f>
        <v/>
      </c>
      <c r="L15" s="25" t="n">
        <f aca="false">IF(INDEX('TEa input'!$I$6:$I$68,$I15)="","",INDEX('TEa input'!$I$6:$I$68,$I15))</f>
        <v>6</v>
      </c>
      <c r="M15" s="25" t="str">
        <f aca="false">IF(INDEX('TEa input'!$K$6:$K$68,$I15)="","",INDEX('TEa input'!$K$6:$K$68,$I15))</f>
        <v/>
      </c>
      <c r="N15" s="25" t="n">
        <f aca="false">IF(INDEX('TEa input'!$M$6:$M$68,$I15)="","",INDEX('TEa input'!$M$6:$M$68,$I15))</f>
        <v>4</v>
      </c>
      <c r="O15" s="25" t="n">
        <f aca="false">IF(INDEX('TEa input'!$O$6:$O$68,$I15)="","",INDEX('TEa input'!$O$6:$O$68,$I15))</f>
        <v>5</v>
      </c>
      <c r="P15" s="25" t="n">
        <f aca="false">IF(INDEX('TEa input'!$Q$6:$Q$68,$I15)="","",INDEX('TEa input'!$Q$6:$Q$68,$I15))</f>
        <v>10</v>
      </c>
      <c r="Q15" s="25" t="n">
        <f aca="false">IF(INDEX('TEa input'!$R$6:$R$68,$I15)="","",INDEX('TEa input'!$R$6:$R$68,$I15))</f>
        <v>5</v>
      </c>
      <c r="R15" s="25" t="n">
        <f aca="false">IF(INDEX('TEa input'!$T$6:$T$68,$I15)="","",INDEX('TEa input'!$T$6:$T$68,$I15))</f>
        <v>10</v>
      </c>
      <c r="S15" s="25" t="n">
        <f aca="false">IF(INDEX('TEa input'!$Y$6:$Y$68,$I15)="","",INDEX('TEa input'!$Y$6:$Y$68,$I15))</f>
        <v>1.1481245184897</v>
      </c>
      <c r="T15" s="25" t="n">
        <f aca="false">IF(INDEX('TEa input'!$Z$6:$Z$68,$I15)="","",INDEX('TEa input'!$Z$6:$Z$68,$I15))</f>
        <v>2.2962490369794</v>
      </c>
      <c r="U15" s="25" t="n">
        <f aca="false">IF(INDEX('TEa input'!$AA$6:$AA$68,$I15)="","",INDEX('TEa input'!$AA$6:$AA$68,$I15))</f>
        <v>3.4443735554691</v>
      </c>
      <c r="V15" s="25" t="str">
        <f aca="false">IF(INDEX('TEa input'!$AB$6:$AB$68,$I15)="","",INDEX('TEa input'!$AB$6:$AB$68,$I15))</f>
        <v/>
      </c>
      <c r="W15" s="25" t="n">
        <f aca="false">IF(INDEX('TEa input'!$AC$6:$AC$68,$I15)="","",INDEX('TEa input'!$AC$6:$AC$68,$I15))</f>
        <v>2.55</v>
      </c>
      <c r="X15" s="25" t="str">
        <f aca="false">IF(INDEX('TEa input'!$AD$6:$AD$68,$I15)="","",INDEX('TEa input'!$AD$6:$AD$68,$I15))</f>
        <v/>
      </c>
      <c r="Y15" s="25" t="str">
        <f aca="false">IF(INDEX('TEa input'!$AF$6:$AF$68,$I15)="","",INDEX('TEa input'!$AF$6:$AF$68,$I15))</f>
        <v/>
      </c>
      <c r="AA15" s="26" t="n">
        <f aca="false">IF(OR(J15="",$E15="",N($E15)&lt;=0),"",(J15-ABS(N($F15)))/$E15)</f>
        <v>2.52905811623247</v>
      </c>
      <c r="AB15" s="26" t="str">
        <f aca="false">IF(OR(K15="",$E15="",N($E15)&lt;=0),"",(K15-ABS(N($F15)))/$E15)</f>
        <v/>
      </c>
      <c r="AC15" s="26" t="n">
        <f aca="false">IF(OR(L15="",$E15="",N($E15)&lt;=0),"",(L15-ABS(N($F15)))/$E15)</f>
        <v>5.53507014028056</v>
      </c>
      <c r="AD15" s="26" t="str">
        <f aca="false">IF(OR(M15="",$E15="",N($E15)&lt;=0),"",(M15-ABS(N($F15)))/$E15)</f>
        <v/>
      </c>
      <c r="AE15" s="26" t="n">
        <f aca="false">IF(OR(N15="",$E15="",N($E15)&lt;=0),"",(N15-ABS(N($F15)))/$E15)</f>
        <v>3.5310621242485</v>
      </c>
      <c r="AF15" s="26" t="n">
        <f aca="false">IF(OR(O15="",$E15="",N($E15)&lt;=0),"",(O15-ABS(N($F15)))/$E15)</f>
        <v>4.53306613226453</v>
      </c>
      <c r="AG15" s="26" t="n">
        <f aca="false">IF(OR(P15="",$E15="",N($E15)&lt;=0),"",(P15-ABS(N($F15)))/$E15)</f>
        <v>9.54308617234469</v>
      </c>
      <c r="AH15" s="26" t="n">
        <f aca="false">IF(OR(Q15="",$E15="",N($E15)&lt;=0),"",(Q15-ABS(N($F15)))/$E15)</f>
        <v>4.53306613226453</v>
      </c>
      <c r="AI15" s="26" t="n">
        <f aca="false">IF(OR(R15="",$E15="",N($E15)&lt;=0),"",(R15-ABS(N($F15)))/$E15)</f>
        <v>9.54308617234469</v>
      </c>
      <c r="AJ15" s="26" t="n">
        <f aca="false">IF(OR(S15="",$E15="",N($E15)&lt;=0),"",(S15-ABS(N($F15)))/$E15)</f>
        <v>0.673471461412524</v>
      </c>
      <c r="AK15" s="26" t="n">
        <f aca="false">IF(OR(T15="",$E15="",N($E15)&lt;=0),"",(T15-ABS(N($F15)))/$E15)</f>
        <v>1.82389683064068</v>
      </c>
      <c r="AL15" s="26" t="n">
        <f aca="false">IF(OR(U15="",$E15="",N($E15)&lt;=0),"",(U15-ABS(N($F15)))/$E15)</f>
        <v>2.97432219986883</v>
      </c>
      <c r="AM15" s="26" t="str">
        <f aca="false">IF(OR(V15="",$E15="",N($E15)&lt;=0),"",(V15-ABS(N($F15)))/$E15)</f>
        <v/>
      </c>
      <c r="AN15" s="26" t="n">
        <f aca="false">IF(OR(W15="",$E15="",N($E15)&lt;=0),"",(W15-ABS(N($F15)))/$E15)</f>
        <v>2.07815631262525</v>
      </c>
      <c r="AO15" s="26" t="str">
        <f aca="false">IF(OR(X15="",$E15="",N($E15)&lt;=0),"",(X15-ABS(N($F15)))/$E15)</f>
        <v/>
      </c>
      <c r="AP15" s="26" t="str">
        <f aca="false">IF(OR(Y15="",$E15="",N($E15)&lt;=0),"",(Y15-ABS(N($F15)))/$E15)</f>
        <v/>
      </c>
    </row>
    <row r="16" customFormat="false" ht="15" hidden="false" customHeight="true" outlineLevel="0" collapsed="false">
      <c r="A16" s="20" t="s">
        <v>88</v>
      </c>
      <c r="B16" s="10" t="s">
        <v>326</v>
      </c>
      <c r="C16" s="11" t="s">
        <v>334</v>
      </c>
      <c r="D16" s="21" t="n">
        <v>3.02944</v>
      </c>
      <c r="E16" s="22" t="n">
        <v>2.462</v>
      </c>
      <c r="F16" s="22" t="n">
        <v>0.894</v>
      </c>
      <c r="G16" s="23" t="n">
        <v>1866</v>
      </c>
      <c r="H16" s="11" t="s">
        <v>335</v>
      </c>
      <c r="I16" s="24" t="n">
        <f aca="false">MATCH(A16,'TEa input'!$A$6:$A$68,0)</f>
        <v>6</v>
      </c>
      <c r="J16" s="25" t="str">
        <f aca="false">IF(INDEX('TEa input'!$E$6:$E$68,$I16)="","",INDEX('TEa input'!$E$6:$E$68,$I16))</f>
        <v/>
      </c>
      <c r="K16" s="25" t="n">
        <f aca="false">IF(INDEX('TEa input'!$G$6:$G$68,$I16)="","",INDEX('TEa input'!$G$6:$G$68,$I16))</f>
        <v>20</v>
      </c>
      <c r="L16" s="25" t="n">
        <f aca="false">IF(INDEX('TEa input'!$I$6:$I$68,$I16)="","",INDEX('TEa input'!$I$6:$I$68,$I16))</f>
        <v>13.5</v>
      </c>
      <c r="M16" s="25" t="str">
        <f aca="false">IF(INDEX('TEa input'!$K$6:$K$68,$I16)="","",INDEX('TEa input'!$K$6:$K$68,$I16))</f>
        <v/>
      </c>
      <c r="N16" s="25" t="n">
        <f aca="false">IF(INDEX('TEa input'!$M$6:$M$68,$I16)="","",INDEX('TEa input'!$M$6:$M$68,$I16))</f>
        <v>20</v>
      </c>
      <c r="O16" s="25" t="n">
        <f aca="false">IF(INDEX('TEa input'!$O$6:$O$68,$I16)="","",INDEX('TEa input'!$O$6:$O$68,$I16))</f>
        <v>20</v>
      </c>
      <c r="P16" s="25" t="n">
        <f aca="false">IF(INDEX('TEa input'!$Q$6:$Q$68,$I16)="","",INDEX('TEa input'!$Q$6:$Q$68,$I16))</f>
        <v>14</v>
      </c>
      <c r="Q16" s="25" t="str">
        <f aca="false">IF(INDEX('TEa input'!$R$6:$R$68,$I16)="","",INDEX('TEa input'!$R$6:$R$68,$I16))</f>
        <v/>
      </c>
      <c r="R16" s="25" t="n">
        <f aca="false">IF(INDEX('TEa input'!$T$6:$T$68,$I16)="","",INDEX('TEa input'!$T$6:$T$68,$I16))</f>
        <v>25</v>
      </c>
      <c r="S16" s="25" t="n">
        <f aca="false">IF(INDEX('TEa input'!$Y$6:$Y$68,$I16)="","",INDEX('TEa input'!$Y$6:$Y$68,$I16))</f>
        <v>12.4205210390686</v>
      </c>
      <c r="T16" s="25" t="n">
        <f aca="false">IF(INDEX('TEa input'!$Z$6:$Z$68,$I16)="","",INDEX('TEa input'!$Z$6:$Z$68,$I16))</f>
        <v>24.8410420781372</v>
      </c>
      <c r="U16" s="25" t="n">
        <f aca="false">IF(INDEX('TEa input'!$AA$6:$AA$68,$I16)="","",INDEX('TEa input'!$AA$6:$AA$68,$I16))</f>
        <v>37.2615631172057</v>
      </c>
      <c r="V16" s="25" t="str">
        <f aca="false">IF(INDEX('TEa input'!$AB$6:$AB$68,$I16)="","",INDEX('TEa input'!$AB$6:$AB$68,$I16))</f>
        <v/>
      </c>
      <c r="W16" s="25" t="n">
        <f aca="false">IF(INDEX('TEa input'!$AC$6:$AC$68,$I16)="","",INDEX('TEa input'!$AC$6:$AC$68,$I16))</f>
        <v>23.7</v>
      </c>
      <c r="X16" s="25" t="str">
        <f aca="false">IF(INDEX('TEa input'!$AD$6:$AD$68,$I16)="","",INDEX('TEa input'!$AD$6:$AD$68,$I16))</f>
        <v/>
      </c>
      <c r="Y16" s="25" t="str">
        <f aca="false">IF(INDEX('TEa input'!$AF$6:$AF$68,$I16)="","",INDEX('TEa input'!$AF$6:$AF$68,$I16))</f>
        <v/>
      </c>
      <c r="AA16" s="26" t="str">
        <f aca="false">IF(OR(J16="",$E16="",N($E16)&lt;=0),"",(J16-ABS(N($F16)))/$E16)</f>
        <v/>
      </c>
      <c r="AB16" s="26" t="n">
        <f aca="false">IF(OR(K16="",$E16="",N($E16)&lt;=0),"",(K16-ABS(N($F16)))/$E16)</f>
        <v>7.76035743298132</v>
      </c>
      <c r="AC16" s="26" t="n">
        <f aca="false">IF(OR(L16="",$E16="",N($E16)&lt;=0),"",(L16-ABS(N($F16)))/$E16)</f>
        <v>5.12022745735175</v>
      </c>
      <c r="AD16" s="26" t="str">
        <f aca="false">IF(OR(M16="",$E16="",N($E16)&lt;=0),"",(M16-ABS(N($F16)))/$E16)</f>
        <v/>
      </c>
      <c r="AE16" s="26" t="n">
        <f aca="false">IF(OR(N16="",$E16="",N($E16)&lt;=0),"",(N16-ABS(N($F16)))/$E16)</f>
        <v>7.76035743298132</v>
      </c>
      <c r="AF16" s="26" t="n">
        <f aca="false">IF(OR(O16="",$E16="",N($E16)&lt;=0),"",(O16-ABS(N($F16)))/$E16)</f>
        <v>7.76035743298132</v>
      </c>
      <c r="AG16" s="26" t="n">
        <f aca="false">IF(OR(P16="",$E16="",N($E16)&lt;=0),"",(P16-ABS(N($F16)))/$E16)</f>
        <v>5.32331437855402</v>
      </c>
      <c r="AH16" s="26" t="str">
        <f aca="false">IF(OR(Q16="",$E16="",N($E16)&lt;=0),"",(Q16-ABS(N($F16)))/$E16)</f>
        <v/>
      </c>
      <c r="AI16" s="26" t="n">
        <f aca="false">IF(OR(R16="",$E16="",N($E16)&lt;=0),"",(R16-ABS(N($F16)))/$E16)</f>
        <v>9.79122664500406</v>
      </c>
      <c r="AJ16" s="26" t="n">
        <f aca="false">IF(OR(S16="",$E16="",N($E16)&lt;=0),"",(S16-ABS(N($F16)))/$E16)</f>
        <v>4.68177133999536</v>
      </c>
      <c r="AK16" s="26" t="n">
        <f aca="false">IF(OR(T16="",$E16="",N($E16)&lt;=0),"",(T16-ABS(N($F16)))/$E16)</f>
        <v>9.72666209510039</v>
      </c>
      <c r="AL16" s="26" t="n">
        <f aca="false">IF(OR(U16="",$E16="",N($E16)&lt;=0),"",(U16-ABS(N($F16)))/$E16)</f>
        <v>14.7715528502054</v>
      </c>
      <c r="AM16" s="26" t="str">
        <f aca="false">IF(OR(V16="",$E16="",N($E16)&lt;=0),"",(V16-ABS(N($F16)))/$E16)</f>
        <v/>
      </c>
      <c r="AN16" s="26" t="n">
        <f aca="false">IF(OR(W16="",$E16="",N($E16)&lt;=0),"",(W16-ABS(N($F16)))/$E16)</f>
        <v>9.26320064987815</v>
      </c>
      <c r="AO16" s="26" t="str">
        <f aca="false">IF(OR(X16="",$E16="",N($E16)&lt;=0),"",(X16-ABS(N($F16)))/$E16)</f>
        <v/>
      </c>
      <c r="AP16" s="26" t="str">
        <f aca="false">IF(OR(Y16="",$E16="",N($E16)&lt;=0),"",(Y16-ABS(N($F16)))/$E16)</f>
        <v/>
      </c>
    </row>
    <row r="17" customFormat="false" ht="15" hidden="false" customHeight="true" outlineLevel="0" collapsed="false">
      <c r="A17" s="20" t="s">
        <v>88</v>
      </c>
      <c r="B17" s="10" t="s">
        <v>329</v>
      </c>
      <c r="C17" s="11" t="s">
        <v>336</v>
      </c>
      <c r="D17" s="21" t="n">
        <v>10.4928</v>
      </c>
      <c r="E17" s="22" t="n">
        <v>2.287</v>
      </c>
      <c r="F17" s="22" t="n">
        <v>0.874</v>
      </c>
      <c r="G17" s="23" t="n">
        <v>1856</v>
      </c>
      <c r="H17" s="11" t="s">
        <v>337</v>
      </c>
      <c r="I17" s="24" t="n">
        <f aca="false">MATCH(A17,'TEa input'!$A$6:$A$68,0)</f>
        <v>6</v>
      </c>
      <c r="J17" s="25" t="str">
        <f aca="false">IF(INDEX('TEa input'!$E$6:$E$68,$I17)="","",INDEX('TEa input'!$E$6:$E$68,$I17))</f>
        <v/>
      </c>
      <c r="K17" s="25" t="n">
        <f aca="false">IF(INDEX('TEa input'!$G$6:$G$68,$I17)="","",INDEX('TEa input'!$G$6:$G$68,$I17))</f>
        <v>20</v>
      </c>
      <c r="L17" s="25" t="n">
        <f aca="false">IF(INDEX('TEa input'!$I$6:$I$68,$I17)="","",INDEX('TEa input'!$I$6:$I$68,$I17))</f>
        <v>13.5</v>
      </c>
      <c r="M17" s="25" t="str">
        <f aca="false">IF(INDEX('TEa input'!$K$6:$K$68,$I17)="","",INDEX('TEa input'!$K$6:$K$68,$I17))</f>
        <v/>
      </c>
      <c r="N17" s="25" t="n">
        <f aca="false">IF(INDEX('TEa input'!$M$6:$M$68,$I17)="","",INDEX('TEa input'!$M$6:$M$68,$I17))</f>
        <v>20</v>
      </c>
      <c r="O17" s="25" t="n">
        <f aca="false">IF(INDEX('TEa input'!$O$6:$O$68,$I17)="","",INDEX('TEa input'!$O$6:$O$68,$I17))</f>
        <v>20</v>
      </c>
      <c r="P17" s="25" t="n">
        <f aca="false">IF(INDEX('TEa input'!$Q$6:$Q$68,$I17)="","",INDEX('TEa input'!$Q$6:$Q$68,$I17))</f>
        <v>14</v>
      </c>
      <c r="Q17" s="25" t="str">
        <f aca="false">IF(INDEX('TEa input'!$R$6:$R$68,$I17)="","",INDEX('TEa input'!$R$6:$R$68,$I17))</f>
        <v/>
      </c>
      <c r="R17" s="25" t="n">
        <f aca="false">IF(INDEX('TEa input'!$T$6:$T$68,$I17)="","",INDEX('TEa input'!$T$6:$T$68,$I17))</f>
        <v>25</v>
      </c>
      <c r="S17" s="25" t="n">
        <f aca="false">IF(INDEX('TEa input'!$Y$6:$Y$68,$I17)="","",INDEX('TEa input'!$Y$6:$Y$68,$I17))</f>
        <v>12.4205210390686</v>
      </c>
      <c r="T17" s="25" t="n">
        <f aca="false">IF(INDEX('TEa input'!$Z$6:$Z$68,$I17)="","",INDEX('TEa input'!$Z$6:$Z$68,$I17))</f>
        <v>24.8410420781372</v>
      </c>
      <c r="U17" s="25" t="n">
        <f aca="false">IF(INDEX('TEa input'!$AA$6:$AA$68,$I17)="","",INDEX('TEa input'!$AA$6:$AA$68,$I17))</f>
        <v>37.2615631172057</v>
      </c>
      <c r="V17" s="25" t="str">
        <f aca="false">IF(INDEX('TEa input'!$AB$6:$AB$68,$I17)="","",INDEX('TEa input'!$AB$6:$AB$68,$I17))</f>
        <v/>
      </c>
      <c r="W17" s="25" t="n">
        <f aca="false">IF(INDEX('TEa input'!$AC$6:$AC$68,$I17)="","",INDEX('TEa input'!$AC$6:$AC$68,$I17))</f>
        <v>23.7</v>
      </c>
      <c r="X17" s="25" t="str">
        <f aca="false">IF(INDEX('TEa input'!$AD$6:$AD$68,$I17)="","",INDEX('TEa input'!$AD$6:$AD$68,$I17))</f>
        <v/>
      </c>
      <c r="Y17" s="25" t="str">
        <f aca="false">IF(INDEX('TEa input'!$AF$6:$AF$68,$I17)="","",INDEX('TEa input'!$AF$6:$AF$68,$I17))</f>
        <v/>
      </c>
      <c r="AA17" s="26" t="str">
        <f aca="false">IF(OR(J17="",$E17="",N($E17)&lt;=0),"",(J17-ABS(N($F17)))/$E17)</f>
        <v/>
      </c>
      <c r="AB17" s="26" t="n">
        <f aca="false">IF(OR(K17="",$E17="",N($E17)&lt;=0),"",(K17-ABS(N($F17)))/$E17)</f>
        <v>8.36292085701793</v>
      </c>
      <c r="AC17" s="26" t="n">
        <f aca="false">IF(OR(L17="",$E17="",N($E17)&lt;=0),"",(L17-ABS(N($F17)))/$E17)</f>
        <v>5.5207695671185</v>
      </c>
      <c r="AD17" s="26" t="str">
        <f aca="false">IF(OR(M17="",$E17="",N($E17)&lt;=0),"",(M17-ABS(N($F17)))/$E17)</f>
        <v/>
      </c>
      <c r="AE17" s="26" t="n">
        <f aca="false">IF(OR(N17="",$E17="",N($E17)&lt;=0),"",(N17-ABS(N($F17)))/$E17)</f>
        <v>8.36292085701793</v>
      </c>
      <c r="AF17" s="26" t="n">
        <f aca="false">IF(OR(O17="",$E17="",N($E17)&lt;=0),"",(O17-ABS(N($F17)))/$E17)</f>
        <v>8.36292085701793</v>
      </c>
      <c r="AG17" s="26" t="n">
        <f aca="false">IF(OR(P17="",$E17="",N($E17)&lt;=0),"",(P17-ABS(N($F17)))/$E17)</f>
        <v>5.73939658941845</v>
      </c>
      <c r="AH17" s="26" t="str">
        <f aca="false">IF(OR(Q17="",$E17="",N($E17)&lt;=0),"",(Q17-ABS(N($F17)))/$E17)</f>
        <v/>
      </c>
      <c r="AI17" s="26" t="n">
        <f aca="false">IF(OR(R17="",$E17="",N($E17)&lt;=0),"",(R17-ABS(N($F17)))/$E17)</f>
        <v>10.5491910800175</v>
      </c>
      <c r="AJ17" s="26" t="n">
        <f aca="false">IF(OR(S17="",$E17="",N($E17)&lt;=0),"",(S17-ABS(N($F17)))/$E17)</f>
        <v>5.04876302539072</v>
      </c>
      <c r="AK17" s="26" t="n">
        <f aca="false">IF(OR(T17="",$E17="",N($E17)&lt;=0),"",(T17-ABS(N($F17)))/$E17)</f>
        <v>10.4796860857618</v>
      </c>
      <c r="AL17" s="26" t="n">
        <f aca="false">IF(OR(U17="",$E17="",N($E17)&lt;=0),"",(U17-ABS(N($F17)))/$E17)</f>
        <v>15.9106091461328</v>
      </c>
      <c r="AM17" s="26" t="str">
        <f aca="false">IF(OR(V17="",$E17="",N($E17)&lt;=0),"",(V17-ABS(N($F17)))/$E17)</f>
        <v/>
      </c>
      <c r="AN17" s="26" t="n">
        <f aca="false">IF(OR(W17="",$E17="",N($E17)&lt;=0),"",(W17-ABS(N($F17)))/$E17)</f>
        <v>9.9807608220376</v>
      </c>
      <c r="AO17" s="26" t="str">
        <f aca="false">IF(OR(X17="",$E17="",N($E17)&lt;=0),"",(X17-ABS(N($F17)))/$E17)</f>
        <v/>
      </c>
      <c r="AP17" s="26" t="str">
        <f aca="false">IF(OR(Y17="",$E17="",N($E17)&lt;=0),"",(Y17-ABS(N($F17)))/$E17)</f>
        <v/>
      </c>
    </row>
    <row r="18" customFormat="false" ht="15" hidden="false" customHeight="true" outlineLevel="0" collapsed="false">
      <c r="A18" s="20" t="s">
        <v>96</v>
      </c>
      <c r="B18" s="10" t="s">
        <v>326</v>
      </c>
      <c r="C18" s="11" t="s">
        <v>334</v>
      </c>
      <c r="D18" s="21" t="n">
        <v>18.7954</v>
      </c>
      <c r="E18" s="22" t="n">
        <v>3.013</v>
      </c>
      <c r="F18" s="22" t="n">
        <v>0.821</v>
      </c>
      <c r="G18" s="23" t="n">
        <v>1012</v>
      </c>
      <c r="H18" s="11" t="s">
        <v>335</v>
      </c>
      <c r="I18" s="24" t="n">
        <f aca="false">MATCH(A18,'TEa input'!$A$6:$A$68,0)</f>
        <v>7</v>
      </c>
      <c r="J18" s="25" t="str">
        <f aca="false">IF(INDEX('TEa input'!$E$6:$E$68,$I18)="","",INDEX('TEa input'!$E$6:$E$68,$I18))</f>
        <v/>
      </c>
      <c r="K18" s="25" t="n">
        <f aca="false">IF(INDEX('TEa input'!$G$6:$G$68,$I18)="","",INDEX('TEa input'!$G$6:$G$68,$I18))</f>
        <v>30</v>
      </c>
      <c r="L18" s="25" t="n">
        <f aca="false">IF(INDEX('TEa input'!$I$6:$I$68,$I18)="","",INDEX('TEa input'!$I$6:$I$68,$I18))</f>
        <v>20</v>
      </c>
      <c r="M18" s="25" t="n">
        <f aca="false">IF(INDEX('TEa input'!$K$6:$K$68,$I18)="","",INDEX('TEa input'!$K$6:$K$68,$I18))</f>
        <v>15</v>
      </c>
      <c r="N18" s="25" t="n">
        <f aca="false">IF(INDEX('TEa input'!$M$6:$M$68,$I18)="","",INDEX('TEa input'!$M$6:$M$68,$I18))</f>
        <v>20</v>
      </c>
      <c r="O18" s="25" t="str">
        <f aca="false">IF(INDEX('TEa input'!$O$6:$O$68,$I18)="","",INDEX('TEa input'!$O$6:$O$68,$I18))</f>
        <v/>
      </c>
      <c r="P18" s="25" t="str">
        <f aca="false">IF(INDEX('TEa input'!$Q$6:$Q$68,$I18)="","",INDEX('TEa input'!$Q$6:$Q$68,$I18))</f>
        <v/>
      </c>
      <c r="Q18" s="25" t="str">
        <f aca="false">IF(INDEX('TEa input'!$R$6:$R$68,$I18)="","",INDEX('TEa input'!$R$6:$R$68,$I18))</f>
        <v/>
      </c>
      <c r="R18" s="25" t="str">
        <f aca="false">IF(INDEX('TEa input'!$T$6:$T$68,$I18)="","",INDEX('TEa input'!$T$6:$T$68,$I18))</f>
        <v/>
      </c>
      <c r="S18" s="25" t="n">
        <f aca="false">IF(INDEX('TEa input'!$Y$6:$Y$68,$I18)="","",INDEX('TEa input'!$Y$6:$Y$68,$I18))</f>
        <v>8.81948084158768</v>
      </c>
      <c r="T18" s="25" t="n">
        <f aca="false">IF(INDEX('TEa input'!$Z$6:$Z$68,$I18)="","",INDEX('TEa input'!$Z$6:$Z$68,$I18))</f>
        <v>17.6389616831754</v>
      </c>
      <c r="U18" s="25" t="n">
        <f aca="false">IF(INDEX('TEa input'!$AA$6:$AA$68,$I18)="","",INDEX('TEa input'!$AA$6:$AA$68,$I18))</f>
        <v>26.458442524763</v>
      </c>
      <c r="V18" s="25" t="str">
        <f aca="false">IF(INDEX('TEa input'!$AB$6:$AB$68,$I18)="","",INDEX('TEa input'!$AB$6:$AB$68,$I18))</f>
        <v/>
      </c>
      <c r="W18" s="25" t="str">
        <f aca="false">IF(INDEX('TEa input'!$AC$6:$AC$68,$I18)="","",INDEX('TEa input'!$AC$6:$AC$68,$I18))</f>
        <v/>
      </c>
      <c r="X18" s="25" t="str">
        <f aca="false">IF(INDEX('TEa input'!$AD$6:$AD$68,$I18)="","",INDEX('TEa input'!$AD$6:$AD$68,$I18))</f>
        <v/>
      </c>
      <c r="Y18" s="25" t="str">
        <f aca="false">IF(INDEX('TEa input'!$AF$6:$AF$68,$I18)="","",INDEX('TEa input'!$AF$6:$AF$68,$I18))</f>
        <v/>
      </c>
      <c r="AA18" s="26" t="str">
        <f aca="false">IF(OR(J18="",$E18="",N($E18)&lt;=0),"",(J18-ABS(N($F18)))/$E18)</f>
        <v/>
      </c>
      <c r="AB18" s="26" t="n">
        <f aca="false">IF(OR(K18="",$E18="",N($E18)&lt;=0),"",(K18-ABS(N($F18)))/$E18)</f>
        <v>9.68436773979422</v>
      </c>
      <c r="AC18" s="26" t="n">
        <f aca="false">IF(OR(L18="",$E18="",N($E18)&lt;=0),"",(L18-ABS(N($F18)))/$E18)</f>
        <v>6.36541652837703</v>
      </c>
      <c r="AD18" s="26" t="n">
        <f aca="false">IF(OR(M18="",$E18="",N($E18)&lt;=0),"",(M18-ABS(N($F18)))/$E18)</f>
        <v>4.70594092266844</v>
      </c>
      <c r="AE18" s="26" t="n">
        <f aca="false">IF(OR(N18="",$E18="",N($E18)&lt;=0),"",(N18-ABS(N($F18)))/$E18)</f>
        <v>6.36541652837703</v>
      </c>
      <c r="AF18" s="26" t="str">
        <f aca="false">IF(OR(O18="",$E18="",N($E18)&lt;=0),"",(O18-ABS(N($F18)))/$E18)</f>
        <v/>
      </c>
      <c r="AG18" s="26" t="str">
        <f aca="false">IF(OR(P18="",$E18="",N($E18)&lt;=0),"",(P18-ABS(N($F18)))/$E18)</f>
        <v/>
      </c>
      <c r="AH18" s="26" t="str">
        <f aca="false">IF(OR(Q18="",$E18="",N($E18)&lt;=0),"",(Q18-ABS(N($F18)))/$E18)</f>
        <v/>
      </c>
      <c r="AI18" s="26" t="str">
        <f aca="false">IF(OR(R18="",$E18="",N($E18)&lt;=0),"",(R18-ABS(N($F18)))/$E18)</f>
        <v/>
      </c>
      <c r="AJ18" s="26" t="n">
        <f aca="false">IF(OR(S18="",$E18="",N($E18)&lt;=0),"",(S18-ABS(N($F18)))/$E18)</f>
        <v>2.65465676786846</v>
      </c>
      <c r="AK18" s="26" t="n">
        <f aca="false">IF(OR(T18="",$E18="",N($E18)&lt;=0),"",(T18-ABS(N($F18)))/$E18)</f>
        <v>5.58179943019428</v>
      </c>
      <c r="AL18" s="26" t="n">
        <f aca="false">IF(OR(U18="",$E18="",N($E18)&lt;=0),"",(U18-ABS(N($F18)))/$E18)</f>
        <v>8.50894209252009</v>
      </c>
      <c r="AM18" s="26" t="str">
        <f aca="false">IF(OR(V18="",$E18="",N($E18)&lt;=0),"",(V18-ABS(N($F18)))/$E18)</f>
        <v/>
      </c>
      <c r="AN18" s="26" t="str">
        <f aca="false">IF(OR(W18="",$E18="",N($E18)&lt;=0),"",(W18-ABS(N($F18)))/$E18)</f>
        <v/>
      </c>
      <c r="AO18" s="26" t="str">
        <f aca="false">IF(OR(X18="",$E18="",N($E18)&lt;=0),"",(X18-ABS(N($F18)))/$E18)</f>
        <v/>
      </c>
      <c r="AP18" s="26" t="str">
        <f aca="false">IF(OR(Y18="",$E18="",N($E18)&lt;=0),"",(Y18-ABS(N($F18)))/$E18)</f>
        <v/>
      </c>
    </row>
    <row r="19" customFormat="false" ht="15" hidden="false" customHeight="true" outlineLevel="0" collapsed="false">
      <c r="A19" s="20" t="s">
        <v>96</v>
      </c>
      <c r="B19" s="10" t="s">
        <v>329</v>
      </c>
      <c r="C19" s="11" t="s">
        <v>336</v>
      </c>
      <c r="D19" s="21" t="n">
        <v>2134.1</v>
      </c>
      <c r="E19" s="22" t="n">
        <v>4.509</v>
      </c>
      <c r="F19" s="22" t="n">
        <v>0.402</v>
      </c>
      <c r="G19" s="23" t="n">
        <v>1007</v>
      </c>
      <c r="H19" s="11" t="s">
        <v>337</v>
      </c>
      <c r="I19" s="24" t="n">
        <f aca="false">MATCH(A19,'TEa input'!$A$6:$A$68,0)</f>
        <v>7</v>
      </c>
      <c r="J19" s="25" t="str">
        <f aca="false">IF(INDEX('TEa input'!$E$6:$E$68,$I19)="","",INDEX('TEa input'!$E$6:$E$68,$I19))</f>
        <v/>
      </c>
      <c r="K19" s="25" t="n">
        <f aca="false">IF(INDEX('TEa input'!$G$6:$G$68,$I19)="","",INDEX('TEa input'!$G$6:$G$68,$I19))</f>
        <v>30</v>
      </c>
      <c r="L19" s="25" t="n">
        <f aca="false">IF(INDEX('TEa input'!$I$6:$I$68,$I19)="","",INDEX('TEa input'!$I$6:$I$68,$I19))</f>
        <v>20</v>
      </c>
      <c r="M19" s="25" t="n">
        <f aca="false">IF(INDEX('TEa input'!$K$6:$K$68,$I19)="","",INDEX('TEa input'!$K$6:$K$68,$I19))</f>
        <v>15</v>
      </c>
      <c r="N19" s="25" t="n">
        <f aca="false">IF(INDEX('TEa input'!$M$6:$M$68,$I19)="","",INDEX('TEa input'!$M$6:$M$68,$I19))</f>
        <v>20</v>
      </c>
      <c r="O19" s="25" t="str">
        <f aca="false">IF(INDEX('TEa input'!$O$6:$O$68,$I19)="","",INDEX('TEa input'!$O$6:$O$68,$I19))</f>
        <v/>
      </c>
      <c r="P19" s="25" t="str">
        <f aca="false">IF(INDEX('TEa input'!$Q$6:$Q$68,$I19)="","",INDEX('TEa input'!$Q$6:$Q$68,$I19))</f>
        <v/>
      </c>
      <c r="Q19" s="25" t="str">
        <f aca="false">IF(INDEX('TEa input'!$R$6:$R$68,$I19)="","",INDEX('TEa input'!$R$6:$R$68,$I19))</f>
        <v/>
      </c>
      <c r="R19" s="25" t="str">
        <f aca="false">IF(INDEX('TEa input'!$T$6:$T$68,$I19)="","",INDEX('TEa input'!$T$6:$T$68,$I19))</f>
        <v/>
      </c>
      <c r="S19" s="25" t="n">
        <f aca="false">IF(INDEX('TEa input'!$Y$6:$Y$68,$I19)="","",INDEX('TEa input'!$Y$6:$Y$68,$I19))</f>
        <v>8.81948084158768</v>
      </c>
      <c r="T19" s="25" t="n">
        <f aca="false">IF(INDEX('TEa input'!$Z$6:$Z$68,$I19)="","",INDEX('TEa input'!$Z$6:$Z$68,$I19))</f>
        <v>17.6389616831754</v>
      </c>
      <c r="U19" s="25" t="n">
        <f aca="false">IF(INDEX('TEa input'!$AA$6:$AA$68,$I19)="","",INDEX('TEa input'!$AA$6:$AA$68,$I19))</f>
        <v>26.458442524763</v>
      </c>
      <c r="V19" s="25" t="str">
        <f aca="false">IF(INDEX('TEa input'!$AB$6:$AB$68,$I19)="","",INDEX('TEa input'!$AB$6:$AB$68,$I19))</f>
        <v/>
      </c>
      <c r="W19" s="25" t="str">
        <f aca="false">IF(INDEX('TEa input'!$AC$6:$AC$68,$I19)="","",INDEX('TEa input'!$AC$6:$AC$68,$I19))</f>
        <v/>
      </c>
      <c r="X19" s="25" t="str">
        <f aca="false">IF(INDEX('TEa input'!$AD$6:$AD$68,$I19)="","",INDEX('TEa input'!$AD$6:$AD$68,$I19))</f>
        <v/>
      </c>
      <c r="Y19" s="25" t="str">
        <f aca="false">IF(INDEX('TEa input'!$AF$6:$AF$68,$I19)="","",INDEX('TEa input'!$AF$6:$AF$68,$I19))</f>
        <v/>
      </c>
      <c r="AA19" s="26" t="str">
        <f aca="false">IF(OR(J19="",$E19="",N($E19)&lt;=0),"",(J19-ABS(N($F19)))/$E19)</f>
        <v/>
      </c>
      <c r="AB19" s="26" t="n">
        <f aca="false">IF(OR(K19="",$E19="",N($E19)&lt;=0),"",(K19-ABS(N($F19)))/$E19)</f>
        <v>6.56420492348636</v>
      </c>
      <c r="AC19" s="26" t="n">
        <f aca="false">IF(OR(L19="",$E19="",N($E19)&lt;=0),"",(L19-ABS(N($F19)))/$E19)</f>
        <v>4.34641827456199</v>
      </c>
      <c r="AD19" s="26" t="n">
        <f aca="false">IF(OR(M19="",$E19="",N($E19)&lt;=0),"",(M19-ABS(N($F19)))/$E19)</f>
        <v>3.2375249500998</v>
      </c>
      <c r="AE19" s="26" t="n">
        <f aca="false">IF(OR(N19="",$E19="",N($E19)&lt;=0),"",(N19-ABS(N($F19)))/$E19)</f>
        <v>4.34641827456199</v>
      </c>
      <c r="AF19" s="26" t="str">
        <f aca="false">IF(OR(O19="",$E19="",N($E19)&lt;=0),"",(O19-ABS(N($F19)))/$E19)</f>
        <v/>
      </c>
      <c r="AG19" s="26" t="str">
        <f aca="false">IF(OR(P19="",$E19="",N($E19)&lt;=0),"",(P19-ABS(N($F19)))/$E19)</f>
        <v/>
      </c>
      <c r="AH19" s="26" t="str">
        <f aca="false">IF(OR(Q19="",$E19="",N($E19)&lt;=0),"",(Q19-ABS(N($F19)))/$E19)</f>
        <v/>
      </c>
      <c r="AI19" s="26" t="str">
        <f aca="false">IF(OR(R19="",$E19="",N($E19)&lt;=0),"",(R19-ABS(N($F19)))/$E19)</f>
        <v/>
      </c>
      <c r="AJ19" s="26" t="n">
        <f aca="false">IF(OR(S19="",$E19="",N($E19)&lt;=0),"",(S19-ABS(N($F19)))/$E19)</f>
        <v>1.86681766280499</v>
      </c>
      <c r="AK19" s="26" t="n">
        <f aca="false">IF(OR(T19="",$E19="",N($E19)&lt;=0),"",(T19-ABS(N($F19)))/$E19)</f>
        <v>3.82279034889673</v>
      </c>
      <c r="AL19" s="26" t="n">
        <f aca="false">IF(OR(U19="",$E19="",N($E19)&lt;=0),"",(U19-ABS(N($F19)))/$E19)</f>
        <v>5.77876303498848</v>
      </c>
      <c r="AM19" s="26" t="str">
        <f aca="false">IF(OR(V19="",$E19="",N($E19)&lt;=0),"",(V19-ABS(N($F19)))/$E19)</f>
        <v/>
      </c>
      <c r="AN19" s="26" t="str">
        <f aca="false">IF(OR(W19="",$E19="",N($E19)&lt;=0),"",(W19-ABS(N($F19)))/$E19)</f>
        <v/>
      </c>
      <c r="AO19" s="26" t="str">
        <f aca="false">IF(OR(X19="",$E19="",N($E19)&lt;=0),"",(X19-ABS(N($F19)))/$E19)</f>
        <v/>
      </c>
      <c r="AP19" s="26" t="str">
        <f aca="false">IF(OR(Y19="",$E19="",N($E19)&lt;=0),"",(Y19-ABS(N($F19)))/$E19)</f>
        <v/>
      </c>
    </row>
    <row r="20" customFormat="false" ht="15" hidden="false" customHeight="true" outlineLevel="0" collapsed="false">
      <c r="A20" s="20" t="s">
        <v>102</v>
      </c>
      <c r="B20" s="10" t="s">
        <v>326</v>
      </c>
      <c r="C20" s="11" t="s">
        <v>334</v>
      </c>
      <c r="D20" s="21" t="n">
        <v>93.418</v>
      </c>
      <c r="E20" s="22" t="n">
        <v>2.571</v>
      </c>
      <c r="F20" s="22" t="n">
        <v>0.499</v>
      </c>
      <c r="G20" s="23" t="n">
        <v>1886</v>
      </c>
      <c r="H20" s="11" t="s">
        <v>335</v>
      </c>
      <c r="I20" s="24" t="n">
        <f aca="false">MATCH(A20,'TEa input'!$A$6:$A$68,0)</f>
        <v>8</v>
      </c>
      <c r="J20" s="25" t="n">
        <f aca="false">IF(INDEX('TEa input'!$E$6:$E$68,$I20)="","",INDEX('TEa input'!$E$6:$E$68,$I20))</f>
        <v>12</v>
      </c>
      <c r="K20" s="25" t="n">
        <f aca="false">IF(INDEX('TEa input'!$G$6:$G$68,$I20)="","",INDEX('TEa input'!$G$6:$G$68,$I20))</f>
        <v>20</v>
      </c>
      <c r="L20" s="25" t="n">
        <f aca="false">IF(INDEX('TEa input'!$I$6:$I$68,$I20)="","",INDEX('TEa input'!$I$6:$I$68,$I20))</f>
        <v>13.5</v>
      </c>
      <c r="M20" s="25" t="str">
        <f aca="false">IF(INDEX('TEa input'!$K$6:$K$68,$I20)="","",INDEX('TEa input'!$K$6:$K$68,$I20))</f>
        <v/>
      </c>
      <c r="N20" s="25" t="n">
        <f aca="false">IF(INDEX('TEa input'!$M$6:$M$68,$I20)="","",INDEX('TEa input'!$M$6:$M$68,$I20))</f>
        <v>15</v>
      </c>
      <c r="O20" s="25" t="n">
        <f aca="false">IF(INDEX('TEa input'!$O$6:$O$68,$I20)="","",INDEX('TEa input'!$O$6:$O$68,$I20))</f>
        <v>25</v>
      </c>
      <c r="P20" s="25" t="n">
        <f aca="false">IF(INDEX('TEa input'!$Q$6:$Q$68,$I20)="","",INDEX('TEa input'!$Q$6:$Q$68,$I20))</f>
        <v>24</v>
      </c>
      <c r="Q20" s="25" t="str">
        <f aca="false">IF(INDEX('TEa input'!$R$6:$R$68,$I20)="","",INDEX('TEa input'!$R$6:$R$68,$I20))</f>
        <v/>
      </c>
      <c r="R20" s="25" t="n">
        <f aca="false">IF(INDEX('TEa input'!$T$6:$T$68,$I20)="","",INDEX('TEa input'!$T$6:$T$68,$I20))</f>
        <v>25</v>
      </c>
      <c r="S20" s="25" t="str">
        <f aca="false">IF(INDEX('TEa input'!$Y$6:$Y$68,$I20)="","",INDEX('TEa input'!$Y$6:$Y$68,$I20))</f>
        <v/>
      </c>
      <c r="T20" s="25" t="str">
        <f aca="false">IF(INDEX('TEa input'!$Z$6:$Z$68,$I20)="","",INDEX('TEa input'!$Z$6:$Z$68,$I20))</f>
        <v/>
      </c>
      <c r="U20" s="25" t="str">
        <f aca="false">IF(INDEX('TEa input'!$AA$6:$AA$68,$I20)="","",INDEX('TEa input'!$AA$6:$AA$68,$I20))</f>
        <v/>
      </c>
      <c r="V20" s="25" t="str">
        <f aca="false">IF(INDEX('TEa input'!$AB$6:$AB$68,$I20)="","",INDEX('TEa input'!$AB$6:$AB$68,$I20))</f>
        <v/>
      </c>
      <c r="W20" s="25" t="n">
        <f aca="false">IF(INDEX('TEa input'!$AC$6:$AC$68,$I20)="","",INDEX('TEa input'!$AC$6:$AC$68,$I20))</f>
        <v>16.9</v>
      </c>
      <c r="X20" s="25" t="str">
        <f aca="false">IF(INDEX('TEa input'!$AD$6:$AD$68,$I20)="","",INDEX('TEa input'!$AD$6:$AD$68,$I20))</f>
        <v/>
      </c>
      <c r="Y20" s="25" t="str">
        <f aca="false">IF(INDEX('TEa input'!$AF$6:$AF$68,$I20)="","",INDEX('TEa input'!$AF$6:$AF$68,$I20))</f>
        <v/>
      </c>
      <c r="AA20" s="26" t="n">
        <f aca="false">IF(OR(J20="",$E20="",N($E20)&lt;=0),"",(J20-ABS(N($F20)))/$E20)</f>
        <v>4.4733566705562</v>
      </c>
      <c r="AB20" s="26" t="n">
        <f aca="false">IF(OR(K20="",$E20="",N($E20)&lt;=0),"",(K20-ABS(N($F20)))/$E20)</f>
        <v>7.58498638661999</v>
      </c>
      <c r="AC20" s="26" t="n">
        <f aca="false">IF(OR(L20="",$E20="",N($E20)&lt;=0),"",(L20-ABS(N($F20)))/$E20)</f>
        <v>5.05678724231816</v>
      </c>
      <c r="AD20" s="26" t="str">
        <f aca="false">IF(OR(M20="",$E20="",N($E20)&lt;=0),"",(M20-ABS(N($F20)))/$E20)</f>
        <v/>
      </c>
      <c r="AE20" s="26" t="n">
        <f aca="false">IF(OR(N20="",$E20="",N($E20)&lt;=0),"",(N20-ABS(N($F20)))/$E20)</f>
        <v>5.64021781408012</v>
      </c>
      <c r="AF20" s="26" t="n">
        <f aca="false">IF(OR(O20="",$E20="",N($E20)&lt;=0),"",(O20-ABS(N($F20)))/$E20)</f>
        <v>9.52975495915986</v>
      </c>
      <c r="AG20" s="26" t="n">
        <f aca="false">IF(OR(P20="",$E20="",N($E20)&lt;=0),"",(P20-ABS(N($F20)))/$E20)</f>
        <v>9.14080124465189</v>
      </c>
      <c r="AH20" s="26" t="str">
        <f aca="false">IF(OR(Q20="",$E20="",N($E20)&lt;=0),"",(Q20-ABS(N($F20)))/$E20)</f>
        <v/>
      </c>
      <c r="AI20" s="26" t="n">
        <f aca="false">IF(OR(R20="",$E20="",N($E20)&lt;=0),"",(R20-ABS(N($F20)))/$E20)</f>
        <v>9.52975495915986</v>
      </c>
      <c r="AJ20" s="26" t="str">
        <f aca="false">IF(OR(S20="",$E20="",N($E20)&lt;=0),"",(S20-ABS(N($F20)))/$E20)</f>
        <v/>
      </c>
      <c r="AK20" s="26" t="str">
        <f aca="false">IF(OR(T20="",$E20="",N($E20)&lt;=0),"",(T20-ABS(N($F20)))/$E20)</f>
        <v/>
      </c>
      <c r="AL20" s="26" t="str">
        <f aca="false">IF(OR(U20="",$E20="",N($E20)&lt;=0),"",(U20-ABS(N($F20)))/$E20)</f>
        <v/>
      </c>
      <c r="AM20" s="26" t="str">
        <f aca="false">IF(OR(V20="",$E20="",N($E20)&lt;=0),"",(V20-ABS(N($F20)))/$E20)</f>
        <v/>
      </c>
      <c r="AN20" s="26" t="n">
        <f aca="false">IF(OR(W20="",$E20="",N($E20)&lt;=0),"",(W20-ABS(N($F20)))/$E20)</f>
        <v>6.37922987164527</v>
      </c>
      <c r="AO20" s="26" t="str">
        <f aca="false">IF(OR(X20="",$E20="",N($E20)&lt;=0),"",(X20-ABS(N($F20)))/$E20)</f>
        <v/>
      </c>
      <c r="AP20" s="26" t="str">
        <f aca="false">IF(OR(Y20="",$E20="",N($E20)&lt;=0),"",(Y20-ABS(N($F20)))/$E20)</f>
        <v/>
      </c>
    </row>
    <row r="21" customFormat="false" ht="15" hidden="false" customHeight="true" outlineLevel="0" collapsed="false">
      <c r="A21" s="20" t="s">
        <v>102</v>
      </c>
      <c r="B21" s="10" t="s">
        <v>329</v>
      </c>
      <c r="C21" s="11" t="s">
        <v>336</v>
      </c>
      <c r="D21" s="21" t="n">
        <v>586.639</v>
      </c>
      <c r="E21" s="22" t="n">
        <v>2.878</v>
      </c>
      <c r="F21" s="22" t="n">
        <v>0.144</v>
      </c>
      <c r="G21" s="23" t="n">
        <v>1871</v>
      </c>
      <c r="H21" s="11" t="s">
        <v>338</v>
      </c>
      <c r="I21" s="24" t="n">
        <f aca="false">MATCH(A21,'TEa input'!$A$6:$A$68,0)</f>
        <v>8</v>
      </c>
      <c r="J21" s="25" t="n">
        <f aca="false">IF(INDEX('TEa input'!$E$6:$E$68,$I21)="","",INDEX('TEa input'!$E$6:$E$68,$I21))</f>
        <v>12</v>
      </c>
      <c r="K21" s="25" t="n">
        <f aca="false">IF(INDEX('TEa input'!$G$6:$G$68,$I21)="","",INDEX('TEa input'!$G$6:$G$68,$I21))</f>
        <v>20</v>
      </c>
      <c r="L21" s="25" t="n">
        <f aca="false">IF(INDEX('TEa input'!$I$6:$I$68,$I21)="","",INDEX('TEa input'!$I$6:$I$68,$I21))</f>
        <v>13.5</v>
      </c>
      <c r="M21" s="25" t="str">
        <f aca="false">IF(INDEX('TEa input'!$K$6:$K$68,$I21)="","",INDEX('TEa input'!$K$6:$K$68,$I21))</f>
        <v/>
      </c>
      <c r="N21" s="25" t="n">
        <f aca="false">IF(INDEX('TEa input'!$M$6:$M$68,$I21)="","",INDEX('TEa input'!$M$6:$M$68,$I21))</f>
        <v>15</v>
      </c>
      <c r="O21" s="25" t="n">
        <f aca="false">IF(INDEX('TEa input'!$O$6:$O$68,$I21)="","",INDEX('TEa input'!$O$6:$O$68,$I21))</f>
        <v>25</v>
      </c>
      <c r="P21" s="25" t="n">
        <f aca="false">IF(INDEX('TEa input'!$Q$6:$Q$68,$I21)="","",INDEX('TEa input'!$Q$6:$Q$68,$I21))</f>
        <v>24</v>
      </c>
      <c r="Q21" s="25" t="str">
        <f aca="false">IF(INDEX('TEa input'!$R$6:$R$68,$I21)="","",INDEX('TEa input'!$R$6:$R$68,$I21))</f>
        <v/>
      </c>
      <c r="R21" s="25" t="n">
        <f aca="false">IF(INDEX('TEa input'!$T$6:$T$68,$I21)="","",INDEX('TEa input'!$T$6:$T$68,$I21))</f>
        <v>25</v>
      </c>
      <c r="S21" s="25" t="str">
        <f aca="false">IF(INDEX('TEa input'!$Y$6:$Y$68,$I21)="","",INDEX('TEa input'!$Y$6:$Y$68,$I21))</f>
        <v/>
      </c>
      <c r="T21" s="25" t="str">
        <f aca="false">IF(INDEX('TEa input'!$Z$6:$Z$68,$I21)="","",INDEX('TEa input'!$Z$6:$Z$68,$I21))</f>
        <v/>
      </c>
      <c r="U21" s="25" t="str">
        <f aca="false">IF(INDEX('TEa input'!$AA$6:$AA$68,$I21)="","",INDEX('TEa input'!$AA$6:$AA$68,$I21))</f>
        <v/>
      </c>
      <c r="V21" s="25" t="str">
        <f aca="false">IF(INDEX('TEa input'!$AB$6:$AB$68,$I21)="","",INDEX('TEa input'!$AB$6:$AB$68,$I21))</f>
        <v/>
      </c>
      <c r="W21" s="25" t="n">
        <f aca="false">IF(INDEX('TEa input'!$AC$6:$AC$68,$I21)="","",INDEX('TEa input'!$AC$6:$AC$68,$I21))</f>
        <v>16.9</v>
      </c>
      <c r="X21" s="25" t="str">
        <f aca="false">IF(INDEX('TEa input'!$AD$6:$AD$68,$I21)="","",INDEX('TEa input'!$AD$6:$AD$68,$I21))</f>
        <v/>
      </c>
      <c r="Y21" s="25" t="str">
        <f aca="false">IF(INDEX('TEa input'!$AF$6:$AF$68,$I21)="","",INDEX('TEa input'!$AF$6:$AF$68,$I21))</f>
        <v/>
      </c>
      <c r="AA21" s="26" t="n">
        <f aca="false">IF(OR(J21="",$E21="",N($E21)&lt;=0),"",(J21-ABS(N($F21)))/$E21)</f>
        <v>4.11952744961779</v>
      </c>
      <c r="AB21" s="26" t="n">
        <f aca="false">IF(OR(K21="",$E21="",N($E21)&lt;=0),"",(K21-ABS(N($F21)))/$E21)</f>
        <v>6.89923558026407</v>
      </c>
      <c r="AC21" s="26" t="n">
        <f aca="false">IF(OR(L21="",$E21="",N($E21)&lt;=0),"",(L21-ABS(N($F21)))/$E21)</f>
        <v>4.64072272411397</v>
      </c>
      <c r="AD21" s="26" t="str">
        <f aca="false">IF(OR(M21="",$E21="",N($E21)&lt;=0),"",(M21-ABS(N($F21)))/$E21)</f>
        <v/>
      </c>
      <c r="AE21" s="26" t="n">
        <f aca="false">IF(OR(N21="",$E21="",N($E21)&lt;=0),"",(N21-ABS(N($F21)))/$E21)</f>
        <v>5.16191799861015</v>
      </c>
      <c r="AF21" s="26" t="n">
        <f aca="false">IF(OR(O21="",$E21="",N($E21)&lt;=0),"",(O21-ABS(N($F21)))/$E21)</f>
        <v>8.636553161918</v>
      </c>
      <c r="AG21" s="26" t="n">
        <f aca="false">IF(OR(P21="",$E21="",N($E21)&lt;=0),"",(P21-ABS(N($F21)))/$E21)</f>
        <v>8.28908964558721</v>
      </c>
      <c r="AH21" s="26" t="str">
        <f aca="false">IF(OR(Q21="",$E21="",N($E21)&lt;=0),"",(Q21-ABS(N($F21)))/$E21)</f>
        <v/>
      </c>
      <c r="AI21" s="26" t="n">
        <f aca="false">IF(OR(R21="",$E21="",N($E21)&lt;=0),"",(R21-ABS(N($F21)))/$E21)</f>
        <v>8.636553161918</v>
      </c>
      <c r="AJ21" s="26" t="str">
        <f aca="false">IF(OR(S21="",$E21="",N($E21)&lt;=0),"",(S21-ABS(N($F21)))/$E21)</f>
        <v/>
      </c>
      <c r="AK21" s="26" t="str">
        <f aca="false">IF(OR(T21="",$E21="",N($E21)&lt;=0),"",(T21-ABS(N($F21)))/$E21)</f>
        <v/>
      </c>
      <c r="AL21" s="26" t="str">
        <f aca="false">IF(OR(U21="",$E21="",N($E21)&lt;=0),"",(U21-ABS(N($F21)))/$E21)</f>
        <v/>
      </c>
      <c r="AM21" s="26" t="str">
        <f aca="false">IF(OR(V21="",$E21="",N($E21)&lt;=0),"",(V21-ABS(N($F21)))/$E21)</f>
        <v/>
      </c>
      <c r="AN21" s="26" t="n">
        <f aca="false">IF(OR(W21="",$E21="",N($E21)&lt;=0),"",(W21-ABS(N($F21)))/$E21)</f>
        <v>5.82209867963864</v>
      </c>
      <c r="AO21" s="26" t="str">
        <f aca="false">IF(OR(X21="",$E21="",N($E21)&lt;=0),"",(X21-ABS(N($F21)))/$E21)</f>
        <v/>
      </c>
      <c r="AP21" s="26" t="str">
        <f aca="false">IF(OR(Y21="",$E21="",N($E21)&lt;=0),"",(Y21-ABS(N($F21)))/$E21)</f>
        <v/>
      </c>
    </row>
    <row r="22" customFormat="false" ht="15" hidden="false" customHeight="true" outlineLevel="0" collapsed="false">
      <c r="A22" s="20" t="s">
        <v>109</v>
      </c>
      <c r="B22" s="10" t="s">
        <v>326</v>
      </c>
      <c r="C22" s="11" t="s">
        <v>334</v>
      </c>
      <c r="D22" s="21" t="n">
        <v>4.04595</v>
      </c>
      <c r="E22" s="22" t="n">
        <v>4.088</v>
      </c>
      <c r="F22" s="22" t="n">
        <v>2.859</v>
      </c>
      <c r="G22" s="23" t="n">
        <v>988</v>
      </c>
      <c r="H22" s="11" t="s">
        <v>337</v>
      </c>
      <c r="I22" s="24" t="n">
        <f aca="false">MATCH(A22,'TEa input'!$A$6:$A$68,0)</f>
        <v>9</v>
      </c>
      <c r="J22" s="25" t="str">
        <f aca="false">IF(INDEX('TEa input'!$E$6:$E$68,$I22)="","",INDEX('TEa input'!$E$6:$E$68,$I22))</f>
        <v/>
      </c>
      <c r="K22" s="25" t="n">
        <f aca="false">IF(INDEX('TEa input'!$G$6:$G$68,$I22)="","",INDEX('TEa input'!$G$6:$G$68,$I22))</f>
        <v>20</v>
      </c>
      <c r="L22" s="25" t="n">
        <f aca="false">IF(INDEX('TEa input'!$I$6:$I$68,$I22)="","",INDEX('TEa input'!$I$6:$I$68,$I22))</f>
        <v>15.5</v>
      </c>
      <c r="M22" s="25" t="str">
        <f aca="false">IF(INDEX('TEa input'!$K$6:$K$68,$I22)="","",INDEX('TEa input'!$K$6:$K$68,$I22))</f>
        <v/>
      </c>
      <c r="N22" s="25" t="n">
        <f aca="false">IF(INDEX('TEa input'!$M$6:$M$68,$I22)="","",INDEX('TEa input'!$M$6:$M$68,$I22))</f>
        <v>8</v>
      </c>
      <c r="O22" s="25" t="n">
        <f aca="false">IF(INDEX('TEa input'!$O$6:$O$68,$I22)="","",INDEX('TEa input'!$O$6:$O$68,$I22))</f>
        <v>25</v>
      </c>
      <c r="P22" s="25" t="n">
        <f aca="false">IF(INDEX('TEa input'!$Q$6:$Q$68,$I22)="","",INDEX('TEa input'!$Q$6:$Q$68,$I22))</f>
        <v>15</v>
      </c>
      <c r="Q22" s="25" t="str">
        <f aca="false">IF(INDEX('TEa input'!$R$6:$R$68,$I22)="","",INDEX('TEa input'!$R$6:$R$68,$I22))</f>
        <v/>
      </c>
      <c r="R22" s="25" t="n">
        <f aca="false">IF(INDEX('TEa input'!$T$6:$T$68,$I22)="","",INDEX('TEa input'!$T$6:$T$68,$I22))</f>
        <v>25</v>
      </c>
      <c r="S22" s="25" t="n">
        <f aca="false">IF(INDEX('TEa input'!$Y$6:$Y$68,$I22)="","",INDEX('TEa input'!$Y$6:$Y$68,$I22))</f>
        <v>8.1233644102299</v>
      </c>
      <c r="T22" s="25" t="n">
        <f aca="false">IF(INDEX('TEa input'!$Z$6:$Z$68,$I22)="","",INDEX('TEa input'!$Z$6:$Z$68,$I22))</f>
        <v>16.2467288204598</v>
      </c>
      <c r="U22" s="25" t="n">
        <f aca="false">IF(INDEX('TEa input'!$AA$6:$AA$68,$I22)="","",INDEX('TEa input'!$AA$6:$AA$68,$I22))</f>
        <v>24.3700932306897</v>
      </c>
      <c r="V22" s="25" t="str">
        <f aca="false">IF(INDEX('TEa input'!$AB$6:$AB$68,$I22)="","",INDEX('TEa input'!$AB$6:$AB$68,$I22))</f>
        <v/>
      </c>
      <c r="W22" s="25" t="n">
        <f aca="false">IF(INDEX('TEa input'!$AC$6:$AC$68,$I22)="","",INDEX('TEa input'!$AC$6:$AC$68,$I22))</f>
        <v>33.6</v>
      </c>
      <c r="X22" s="25" t="str">
        <f aca="false">IF(INDEX('TEa input'!$AD$6:$AD$68,$I22)="","",INDEX('TEa input'!$AD$6:$AD$68,$I22))</f>
        <v/>
      </c>
      <c r="Y22" s="25" t="str">
        <f aca="false">IF(INDEX('TEa input'!$AF$6:$AF$68,$I22)="","",INDEX('TEa input'!$AF$6:$AF$68,$I22))</f>
        <v/>
      </c>
      <c r="AA22" s="26" t="str">
        <f aca="false">IF(OR(J22="",$E22="",N($E22)&lt;=0),"",(J22-ABS(N($F22)))/$E22)</f>
        <v/>
      </c>
      <c r="AB22" s="26" t="n">
        <f aca="false">IF(OR(K22="",$E22="",N($E22)&lt;=0),"",(K22-ABS(N($F22)))/$E22)</f>
        <v>4.19300391389433</v>
      </c>
      <c r="AC22" s="26" t="n">
        <f aca="false">IF(OR(L22="",$E22="",N($E22)&lt;=0),"",(L22-ABS(N($F22)))/$E22)</f>
        <v>3.09222113502935</v>
      </c>
      <c r="AD22" s="26" t="str">
        <f aca="false">IF(OR(M22="",$E22="",N($E22)&lt;=0),"",(M22-ABS(N($F22)))/$E22)</f>
        <v/>
      </c>
      <c r="AE22" s="26" t="n">
        <f aca="false">IF(OR(N22="",$E22="",N($E22)&lt;=0),"",(N22-ABS(N($F22)))/$E22)</f>
        <v>1.2575831702544</v>
      </c>
      <c r="AF22" s="26" t="n">
        <f aca="false">IF(OR(O22="",$E22="",N($E22)&lt;=0),"",(O22-ABS(N($F22)))/$E22)</f>
        <v>5.41609589041096</v>
      </c>
      <c r="AG22" s="26" t="n">
        <f aca="false">IF(OR(P22="",$E22="",N($E22)&lt;=0),"",(P22-ABS(N($F22)))/$E22)</f>
        <v>2.96991193737769</v>
      </c>
      <c r="AH22" s="26" t="str">
        <f aca="false">IF(OR(Q22="",$E22="",N($E22)&lt;=0),"",(Q22-ABS(N($F22)))/$E22)</f>
        <v/>
      </c>
      <c r="AI22" s="26" t="n">
        <f aca="false">IF(OR(R22="",$E22="",N($E22)&lt;=0),"",(R22-ABS(N($F22)))/$E22)</f>
        <v>5.41609589041096</v>
      </c>
      <c r="AJ22" s="26" t="n">
        <f aca="false">IF(OR(S22="",$E22="",N($E22)&lt;=0),"",(S22-ABS(N($F22)))/$E22)</f>
        <v>1.28776037432238</v>
      </c>
      <c r="AK22" s="26" t="n">
        <f aca="false">IF(OR(T22="",$E22="",N($E22)&lt;=0),"",(T22-ABS(N($F22)))/$E22)</f>
        <v>3.27488474081698</v>
      </c>
      <c r="AL22" s="26" t="n">
        <f aca="false">IF(OR(U22="",$E22="",N($E22)&lt;=0),"",(U22-ABS(N($F22)))/$E22)</f>
        <v>5.26200910731157</v>
      </c>
      <c r="AM22" s="26" t="str">
        <f aca="false">IF(OR(V22="",$E22="",N($E22)&lt;=0),"",(V22-ABS(N($F22)))/$E22)</f>
        <v/>
      </c>
      <c r="AN22" s="26" t="n">
        <f aca="false">IF(OR(W22="",$E22="",N($E22)&lt;=0),"",(W22-ABS(N($F22)))/$E22)</f>
        <v>7.51981409001957</v>
      </c>
      <c r="AO22" s="26" t="str">
        <f aca="false">IF(OR(X22="",$E22="",N($E22)&lt;=0),"",(X22-ABS(N($F22)))/$E22)</f>
        <v/>
      </c>
      <c r="AP22" s="26" t="str">
        <f aca="false">IF(OR(Y22="",$E22="",N($E22)&lt;=0),"",(Y22-ABS(N($F22)))/$E22)</f>
        <v/>
      </c>
    </row>
    <row r="23" customFormat="false" ht="15" hidden="false" customHeight="true" outlineLevel="0" collapsed="false">
      <c r="A23" s="20" t="s">
        <v>109</v>
      </c>
      <c r="B23" s="10" t="s">
        <v>329</v>
      </c>
      <c r="C23" s="11" t="s">
        <v>336</v>
      </c>
      <c r="D23" s="21" t="n">
        <v>20.8947</v>
      </c>
      <c r="E23" s="22" t="n">
        <v>3.992</v>
      </c>
      <c r="F23" s="22" t="n">
        <v>2.653</v>
      </c>
      <c r="G23" s="23" t="n">
        <v>987</v>
      </c>
      <c r="H23" s="11" t="s">
        <v>337</v>
      </c>
      <c r="I23" s="24" t="n">
        <f aca="false">MATCH(A23,'TEa input'!$A$6:$A$68,0)</f>
        <v>9</v>
      </c>
      <c r="J23" s="25" t="str">
        <f aca="false">IF(INDEX('TEa input'!$E$6:$E$68,$I23)="","",INDEX('TEa input'!$E$6:$E$68,$I23))</f>
        <v/>
      </c>
      <c r="K23" s="25" t="n">
        <f aca="false">IF(INDEX('TEa input'!$G$6:$G$68,$I23)="","",INDEX('TEa input'!$G$6:$G$68,$I23))</f>
        <v>20</v>
      </c>
      <c r="L23" s="25" t="n">
        <f aca="false">IF(INDEX('TEa input'!$I$6:$I$68,$I23)="","",INDEX('TEa input'!$I$6:$I$68,$I23))</f>
        <v>15.5</v>
      </c>
      <c r="M23" s="25" t="str">
        <f aca="false">IF(INDEX('TEa input'!$K$6:$K$68,$I23)="","",INDEX('TEa input'!$K$6:$K$68,$I23))</f>
        <v/>
      </c>
      <c r="N23" s="25" t="n">
        <f aca="false">IF(INDEX('TEa input'!$M$6:$M$68,$I23)="","",INDEX('TEa input'!$M$6:$M$68,$I23))</f>
        <v>8</v>
      </c>
      <c r="O23" s="25" t="n">
        <f aca="false">IF(INDEX('TEa input'!$O$6:$O$68,$I23)="","",INDEX('TEa input'!$O$6:$O$68,$I23))</f>
        <v>25</v>
      </c>
      <c r="P23" s="25" t="n">
        <f aca="false">IF(INDEX('TEa input'!$Q$6:$Q$68,$I23)="","",INDEX('TEa input'!$Q$6:$Q$68,$I23))</f>
        <v>15</v>
      </c>
      <c r="Q23" s="25" t="str">
        <f aca="false">IF(INDEX('TEa input'!$R$6:$R$68,$I23)="","",INDEX('TEa input'!$R$6:$R$68,$I23))</f>
        <v/>
      </c>
      <c r="R23" s="25" t="n">
        <f aca="false">IF(INDEX('TEa input'!$T$6:$T$68,$I23)="","",INDEX('TEa input'!$T$6:$T$68,$I23))</f>
        <v>25</v>
      </c>
      <c r="S23" s="25" t="n">
        <f aca="false">IF(INDEX('TEa input'!$Y$6:$Y$68,$I23)="","",INDEX('TEa input'!$Y$6:$Y$68,$I23))</f>
        <v>8.1233644102299</v>
      </c>
      <c r="T23" s="25" t="n">
        <f aca="false">IF(INDEX('TEa input'!$Z$6:$Z$68,$I23)="","",INDEX('TEa input'!$Z$6:$Z$68,$I23))</f>
        <v>16.2467288204598</v>
      </c>
      <c r="U23" s="25" t="n">
        <f aca="false">IF(INDEX('TEa input'!$AA$6:$AA$68,$I23)="","",INDEX('TEa input'!$AA$6:$AA$68,$I23))</f>
        <v>24.3700932306897</v>
      </c>
      <c r="V23" s="25" t="str">
        <f aca="false">IF(INDEX('TEa input'!$AB$6:$AB$68,$I23)="","",INDEX('TEa input'!$AB$6:$AB$68,$I23))</f>
        <v/>
      </c>
      <c r="W23" s="25" t="n">
        <f aca="false">IF(INDEX('TEa input'!$AC$6:$AC$68,$I23)="","",INDEX('TEa input'!$AC$6:$AC$68,$I23))</f>
        <v>33.6</v>
      </c>
      <c r="X23" s="25" t="str">
        <f aca="false">IF(INDEX('TEa input'!$AD$6:$AD$68,$I23)="","",INDEX('TEa input'!$AD$6:$AD$68,$I23))</f>
        <v/>
      </c>
      <c r="Y23" s="25" t="str">
        <f aca="false">IF(INDEX('TEa input'!$AF$6:$AF$68,$I23)="","",INDEX('TEa input'!$AF$6:$AF$68,$I23))</f>
        <v/>
      </c>
      <c r="AA23" s="26" t="str">
        <f aca="false">IF(OR(J23="",$E23="",N($E23)&lt;=0),"",(J23-ABS(N($F23)))/$E23)</f>
        <v/>
      </c>
      <c r="AB23" s="26" t="n">
        <f aca="false">IF(OR(K23="",$E23="",N($E23)&lt;=0),"",(K23-ABS(N($F23)))/$E23)</f>
        <v>4.34544088176353</v>
      </c>
      <c r="AC23" s="26" t="n">
        <f aca="false">IF(OR(L23="",$E23="",N($E23)&lt;=0),"",(L23-ABS(N($F23)))/$E23)</f>
        <v>3.21818637274549</v>
      </c>
      <c r="AD23" s="26" t="str">
        <f aca="false">IF(OR(M23="",$E23="",N($E23)&lt;=0),"",(M23-ABS(N($F23)))/$E23)</f>
        <v/>
      </c>
      <c r="AE23" s="26" t="n">
        <f aca="false">IF(OR(N23="",$E23="",N($E23)&lt;=0),"",(N23-ABS(N($F23)))/$E23)</f>
        <v>1.33942885771543</v>
      </c>
      <c r="AF23" s="26" t="n">
        <f aca="false">IF(OR(O23="",$E23="",N($E23)&lt;=0),"",(O23-ABS(N($F23)))/$E23)</f>
        <v>5.59794589178357</v>
      </c>
      <c r="AG23" s="26" t="n">
        <f aca="false">IF(OR(P23="",$E23="",N($E23)&lt;=0),"",(P23-ABS(N($F23)))/$E23)</f>
        <v>3.09293587174349</v>
      </c>
      <c r="AH23" s="26" t="str">
        <f aca="false">IF(OR(Q23="",$E23="",N($E23)&lt;=0),"",(Q23-ABS(N($F23)))/$E23)</f>
        <v/>
      </c>
      <c r="AI23" s="26" t="n">
        <f aca="false">IF(OR(R23="",$E23="",N($E23)&lt;=0),"",(R23-ABS(N($F23)))/$E23)</f>
        <v>5.59794589178357</v>
      </c>
      <c r="AJ23" s="26" t="n">
        <f aca="false">IF(OR(S23="",$E23="",N($E23)&lt;=0),"",(S23-ABS(N($F23)))/$E23)</f>
        <v>1.37033176608965</v>
      </c>
      <c r="AK23" s="26" t="n">
        <f aca="false">IF(OR(T23="",$E23="",N($E23)&lt;=0),"",(T23-ABS(N($F23)))/$E23)</f>
        <v>3.40524269049594</v>
      </c>
      <c r="AL23" s="26" t="n">
        <f aca="false">IF(OR(U23="",$E23="",N($E23)&lt;=0),"",(U23-ABS(N($F23)))/$E23)</f>
        <v>5.44015361490223</v>
      </c>
      <c r="AM23" s="26" t="str">
        <f aca="false">IF(OR(V23="",$E23="",N($E23)&lt;=0),"",(V23-ABS(N($F23)))/$E23)</f>
        <v/>
      </c>
      <c r="AN23" s="26" t="n">
        <f aca="false">IF(OR(W23="",$E23="",N($E23)&lt;=0),"",(W23-ABS(N($F23)))/$E23)</f>
        <v>7.75225450901804</v>
      </c>
      <c r="AO23" s="26" t="str">
        <f aca="false">IF(OR(X23="",$E23="",N($E23)&lt;=0),"",(X23-ABS(N($F23)))/$E23)</f>
        <v/>
      </c>
      <c r="AP23" s="26" t="str">
        <f aca="false">IF(OR(Y23="",$E23="",N($E23)&lt;=0),"",(Y23-ABS(N($F23)))/$E23)</f>
        <v/>
      </c>
    </row>
    <row r="24" customFormat="false" ht="15" hidden="false" customHeight="true" outlineLevel="0" collapsed="false">
      <c r="A24" s="20" t="s">
        <v>115</v>
      </c>
      <c r="B24" s="10" t="s">
        <v>326</v>
      </c>
      <c r="C24" s="11" t="s">
        <v>334</v>
      </c>
      <c r="D24" s="21" t="n">
        <v>97.6875</v>
      </c>
      <c r="E24" s="22" t="n">
        <v>6.697</v>
      </c>
      <c r="F24" s="22" t="n">
        <v>1.798</v>
      </c>
      <c r="G24" s="23" t="n">
        <v>1837</v>
      </c>
      <c r="H24" s="11" t="s">
        <v>335</v>
      </c>
      <c r="I24" s="24" t="n">
        <f aca="false">MATCH(A24,'TEa input'!$A$6:$A$68,0)</f>
        <v>10</v>
      </c>
      <c r="J24" s="25" t="str">
        <f aca="false">IF(INDEX('TEa input'!$E$6:$E$68,$I24)="","",INDEX('TEa input'!$E$6:$E$68,$I24))</f>
        <v/>
      </c>
      <c r="K24" s="25" t="str">
        <f aca="false">IF(INDEX('TEa input'!$G$6:$G$68,$I24)="","",INDEX('TEa input'!$G$6:$G$68,$I24))</f>
        <v/>
      </c>
      <c r="L24" s="25" t="n">
        <f aca="false">IF(INDEX('TEa input'!$I$6:$I$68,$I24)="","",INDEX('TEa input'!$I$6:$I$68,$I24))</f>
        <v>25</v>
      </c>
      <c r="M24" s="25" t="str">
        <f aca="false">IF(INDEX('TEa input'!$K$6:$K$68,$I24)="","",INDEX('TEa input'!$K$6:$K$68,$I24))</f>
        <v/>
      </c>
      <c r="N24" s="25" t="n">
        <f aca="false">IF(INDEX('TEa input'!$M$6:$M$68,$I24)="","",INDEX('TEa input'!$M$6:$M$68,$I24))</f>
        <v>15</v>
      </c>
      <c r="O24" s="25" t="str">
        <f aca="false">IF(INDEX('TEa input'!$O$6:$O$68,$I24)="","",INDEX('TEa input'!$O$6:$O$68,$I24))</f>
        <v/>
      </c>
      <c r="P24" s="25" t="str">
        <f aca="false">IF(INDEX('TEa input'!$Q$6:$Q$68,$I24)="","",INDEX('TEa input'!$Q$6:$Q$68,$I24))</f>
        <v/>
      </c>
      <c r="Q24" s="25" t="str">
        <f aca="false">IF(INDEX('TEa input'!$R$6:$R$68,$I24)="","",INDEX('TEa input'!$R$6:$R$68,$I24))</f>
        <v/>
      </c>
      <c r="R24" s="25" t="n">
        <f aca="false">IF(INDEX('TEa input'!$T$6:$T$68,$I24)="","",INDEX('TEa input'!$T$6:$T$68,$I24))</f>
        <v>25</v>
      </c>
      <c r="S24" s="25" t="n">
        <f aca="false">IF(INDEX('TEa input'!$Y$6:$Y$68,$I24)="","",INDEX('TEa input'!$Y$6:$Y$68,$I24))</f>
        <v>7.5812432936357</v>
      </c>
      <c r="T24" s="25" t="n">
        <f aca="false">IF(INDEX('TEa input'!$Z$6:$Z$68,$I24)="","",INDEX('TEa input'!$Z$6:$Z$68,$I24))</f>
        <v>15.1624865872714</v>
      </c>
      <c r="U24" s="25" t="n">
        <f aca="false">IF(INDEX('TEa input'!$AA$6:$AA$68,$I24)="","",INDEX('TEa input'!$AA$6:$AA$68,$I24))</f>
        <v>22.7437298809071</v>
      </c>
      <c r="V24" s="25" t="str">
        <f aca="false">IF(INDEX('TEa input'!$AB$6:$AB$68,$I24)="","",INDEX('TEa input'!$AB$6:$AB$68,$I24))</f>
        <v/>
      </c>
      <c r="W24" s="25" t="str">
        <f aca="false">IF(INDEX('TEa input'!$AC$6:$AC$68,$I24)="","",INDEX('TEa input'!$AC$6:$AC$68,$I24))</f>
        <v/>
      </c>
      <c r="X24" s="25" t="str">
        <f aca="false">IF(INDEX('TEa input'!$AD$6:$AD$68,$I24)="","",INDEX('TEa input'!$AD$6:$AD$68,$I24))</f>
        <v/>
      </c>
      <c r="Y24" s="25" t="n">
        <f aca="false">IF(INDEX('TEa input'!$AF$6:$AF$68,$I24)="","",INDEX('TEa input'!$AF$6:$AF$68,$I24))</f>
        <v>30</v>
      </c>
      <c r="AA24" s="26" t="str">
        <f aca="false">IF(OR(J24="",$E24="",N($E24)&lt;=0),"",(J24-ABS(N($F24)))/$E24)</f>
        <v/>
      </c>
      <c r="AB24" s="26" t="str">
        <f aca="false">IF(OR(K24="",$E24="",N($E24)&lt;=0),"",(K24-ABS(N($F24)))/$E24)</f>
        <v/>
      </c>
      <c r="AC24" s="26" t="n">
        <f aca="false">IF(OR(L24="",$E24="",N($E24)&lt;=0),"",(L24-ABS(N($F24)))/$E24)</f>
        <v>3.46453635956398</v>
      </c>
      <c r="AD24" s="26" t="str">
        <f aca="false">IF(OR(M24="",$E24="",N($E24)&lt;=0),"",(M24-ABS(N($F24)))/$E24)</f>
        <v/>
      </c>
      <c r="AE24" s="26" t="n">
        <f aca="false">IF(OR(N24="",$E24="",N($E24)&lt;=0),"",(N24-ABS(N($F24)))/$E24)</f>
        <v>1.97133044646857</v>
      </c>
      <c r="AF24" s="26" t="str">
        <f aca="false">IF(OR(O24="",$E24="",N($E24)&lt;=0),"",(O24-ABS(N($F24)))/$E24)</f>
        <v/>
      </c>
      <c r="AG24" s="26" t="str">
        <f aca="false">IF(OR(P24="",$E24="",N($E24)&lt;=0),"",(P24-ABS(N($F24)))/$E24)</f>
        <v/>
      </c>
      <c r="AH24" s="26" t="str">
        <f aca="false">IF(OR(Q24="",$E24="",N($E24)&lt;=0),"",(Q24-ABS(N($F24)))/$E24)</f>
        <v/>
      </c>
      <c r="AI24" s="26" t="n">
        <f aca="false">IF(OR(R24="",$E24="",N($E24)&lt;=0),"",(R24-ABS(N($F24)))/$E24)</f>
        <v>3.46453635956398</v>
      </c>
      <c r="AJ24" s="26" t="n">
        <f aca="false">IF(OR(S24="",$E24="",N($E24)&lt;=0),"",(S24-ABS(N($F24)))/$E24)</f>
        <v>0.863557308292624</v>
      </c>
      <c r="AK24" s="26" t="n">
        <f aca="false">IF(OR(T24="",$E24="",N($E24)&lt;=0),"",(T24-ABS(N($F24)))/$E24)</f>
        <v>1.9955930397598</v>
      </c>
      <c r="AL24" s="26" t="n">
        <f aca="false">IF(OR(U24="",$E24="",N($E24)&lt;=0),"",(U24-ABS(N($F24)))/$E24)</f>
        <v>3.12762877122698</v>
      </c>
      <c r="AM24" s="26" t="str">
        <f aca="false">IF(OR(V24="",$E24="",N($E24)&lt;=0),"",(V24-ABS(N($F24)))/$E24)</f>
        <v/>
      </c>
      <c r="AN24" s="26" t="str">
        <f aca="false">IF(OR(W24="",$E24="",N($E24)&lt;=0),"",(W24-ABS(N($F24)))/$E24)</f>
        <v/>
      </c>
      <c r="AO24" s="26" t="str">
        <f aca="false">IF(OR(X24="",$E24="",N($E24)&lt;=0),"",(X24-ABS(N($F24)))/$E24)</f>
        <v/>
      </c>
      <c r="AP24" s="26" t="n">
        <f aca="false">IF(OR(Y24="",$E24="",N($E24)&lt;=0),"",(Y24-ABS(N($F24)))/$E24)</f>
        <v>4.21113931611169</v>
      </c>
    </row>
    <row r="25" customFormat="false" ht="15" hidden="false" customHeight="true" outlineLevel="0" collapsed="false">
      <c r="A25" s="20" t="s">
        <v>115</v>
      </c>
      <c r="B25" s="10" t="s">
        <v>329</v>
      </c>
      <c r="C25" s="11" t="s">
        <v>336</v>
      </c>
      <c r="D25" s="21" t="n">
        <v>170.797</v>
      </c>
      <c r="E25" s="22" t="n">
        <v>5.749</v>
      </c>
      <c r="F25" s="22" t="n">
        <v>0.797</v>
      </c>
      <c r="G25" s="23" t="n">
        <v>1802</v>
      </c>
      <c r="H25" s="11" t="s">
        <v>335</v>
      </c>
      <c r="I25" s="24" t="n">
        <f aca="false">MATCH(A25,'TEa input'!$A$6:$A$68,0)</f>
        <v>10</v>
      </c>
      <c r="J25" s="25" t="str">
        <f aca="false">IF(INDEX('TEa input'!$E$6:$E$68,$I25)="","",INDEX('TEa input'!$E$6:$E$68,$I25))</f>
        <v/>
      </c>
      <c r="K25" s="25" t="str">
        <f aca="false">IF(INDEX('TEa input'!$G$6:$G$68,$I25)="","",INDEX('TEa input'!$G$6:$G$68,$I25))</f>
        <v/>
      </c>
      <c r="L25" s="25" t="n">
        <f aca="false">IF(INDEX('TEa input'!$I$6:$I$68,$I25)="","",INDEX('TEa input'!$I$6:$I$68,$I25))</f>
        <v>25</v>
      </c>
      <c r="M25" s="25" t="str">
        <f aca="false">IF(INDEX('TEa input'!$K$6:$K$68,$I25)="","",INDEX('TEa input'!$K$6:$K$68,$I25))</f>
        <v/>
      </c>
      <c r="N25" s="25" t="n">
        <f aca="false">IF(INDEX('TEa input'!$M$6:$M$68,$I25)="","",INDEX('TEa input'!$M$6:$M$68,$I25))</f>
        <v>15</v>
      </c>
      <c r="O25" s="25" t="str">
        <f aca="false">IF(INDEX('TEa input'!$O$6:$O$68,$I25)="","",INDEX('TEa input'!$O$6:$O$68,$I25))</f>
        <v/>
      </c>
      <c r="P25" s="25" t="str">
        <f aca="false">IF(INDEX('TEa input'!$Q$6:$Q$68,$I25)="","",INDEX('TEa input'!$Q$6:$Q$68,$I25))</f>
        <v/>
      </c>
      <c r="Q25" s="25" t="str">
        <f aca="false">IF(INDEX('TEa input'!$R$6:$R$68,$I25)="","",INDEX('TEa input'!$R$6:$R$68,$I25))</f>
        <v/>
      </c>
      <c r="R25" s="25" t="n">
        <f aca="false">IF(INDEX('TEa input'!$T$6:$T$68,$I25)="","",INDEX('TEa input'!$T$6:$T$68,$I25))</f>
        <v>25</v>
      </c>
      <c r="S25" s="25" t="n">
        <f aca="false">IF(INDEX('TEa input'!$Y$6:$Y$68,$I25)="","",INDEX('TEa input'!$Y$6:$Y$68,$I25))</f>
        <v>7.5812432936357</v>
      </c>
      <c r="T25" s="25" t="n">
        <f aca="false">IF(INDEX('TEa input'!$Z$6:$Z$68,$I25)="","",INDEX('TEa input'!$Z$6:$Z$68,$I25))</f>
        <v>15.1624865872714</v>
      </c>
      <c r="U25" s="25" t="n">
        <f aca="false">IF(INDEX('TEa input'!$AA$6:$AA$68,$I25)="","",INDEX('TEa input'!$AA$6:$AA$68,$I25))</f>
        <v>22.7437298809071</v>
      </c>
      <c r="V25" s="25" t="str">
        <f aca="false">IF(INDEX('TEa input'!$AB$6:$AB$68,$I25)="","",INDEX('TEa input'!$AB$6:$AB$68,$I25))</f>
        <v/>
      </c>
      <c r="W25" s="25" t="str">
        <f aca="false">IF(INDEX('TEa input'!$AC$6:$AC$68,$I25)="","",INDEX('TEa input'!$AC$6:$AC$68,$I25))</f>
        <v/>
      </c>
      <c r="X25" s="25" t="str">
        <f aca="false">IF(INDEX('TEa input'!$AD$6:$AD$68,$I25)="","",INDEX('TEa input'!$AD$6:$AD$68,$I25))</f>
        <v/>
      </c>
      <c r="Y25" s="25" t="n">
        <f aca="false">IF(INDEX('TEa input'!$AF$6:$AF$68,$I25)="","",INDEX('TEa input'!$AF$6:$AF$68,$I25))</f>
        <v>30</v>
      </c>
      <c r="AA25" s="26" t="str">
        <f aca="false">IF(OR(J25="",$E25="",N($E25)&lt;=0),"",(J25-ABS(N($F25)))/$E25)</f>
        <v/>
      </c>
      <c r="AB25" s="26" t="str">
        <f aca="false">IF(OR(K25="",$E25="",N($E25)&lt;=0),"",(K25-ABS(N($F25)))/$E25)</f>
        <v/>
      </c>
      <c r="AC25" s="26" t="n">
        <f aca="false">IF(OR(L25="",$E25="",N($E25)&lt;=0),"",(L25-ABS(N($F25)))/$E25)</f>
        <v>4.2099495564446</v>
      </c>
      <c r="AD25" s="26" t="str">
        <f aca="false">IF(OR(M25="",$E25="",N($E25)&lt;=0),"",(M25-ABS(N($F25)))/$E25)</f>
        <v/>
      </c>
      <c r="AE25" s="26" t="n">
        <f aca="false">IF(OR(N25="",$E25="",N($E25)&lt;=0),"",(N25-ABS(N($F25)))/$E25)</f>
        <v>2.47051661158462</v>
      </c>
      <c r="AF25" s="26" t="str">
        <f aca="false">IF(OR(O25="",$E25="",N($E25)&lt;=0),"",(O25-ABS(N($F25)))/$E25)</f>
        <v/>
      </c>
      <c r="AG25" s="26" t="str">
        <f aca="false">IF(OR(P25="",$E25="",N($E25)&lt;=0),"",(P25-ABS(N($F25)))/$E25)</f>
        <v/>
      </c>
      <c r="AH25" s="26" t="str">
        <f aca="false">IF(OR(Q25="",$E25="",N($E25)&lt;=0),"",(Q25-ABS(N($F25)))/$E25)</f>
        <v/>
      </c>
      <c r="AI25" s="26" t="n">
        <f aca="false">IF(OR(R25="",$E25="",N($E25)&lt;=0),"",(R25-ABS(N($F25)))/$E25)</f>
        <v>4.2099495564446</v>
      </c>
      <c r="AJ25" s="26" t="n">
        <f aca="false">IF(OR(S25="",$E25="",N($E25)&lt;=0),"",(S25-ABS(N($F25)))/$E25)</f>
        <v>1.18007362908953</v>
      </c>
      <c r="AK25" s="26" t="n">
        <f aca="false">IF(OR(T25="",$E25="",N($E25)&lt;=0),"",(T25-ABS(N($F25)))/$E25)</f>
        <v>2.4987800638844</v>
      </c>
      <c r="AL25" s="26" t="n">
        <f aca="false">IF(OR(U25="",$E25="",N($E25)&lt;=0),"",(U25-ABS(N($F25)))/$E25)</f>
        <v>3.81748649867927</v>
      </c>
      <c r="AM25" s="26" t="str">
        <f aca="false">IF(OR(V25="",$E25="",N($E25)&lt;=0),"",(V25-ABS(N($F25)))/$E25)</f>
        <v/>
      </c>
      <c r="AN25" s="26" t="str">
        <f aca="false">IF(OR(W25="",$E25="",N($E25)&lt;=0),"",(W25-ABS(N($F25)))/$E25)</f>
        <v/>
      </c>
      <c r="AO25" s="26" t="str">
        <f aca="false">IF(OR(X25="",$E25="",N($E25)&lt;=0),"",(X25-ABS(N($F25)))/$E25)</f>
        <v/>
      </c>
      <c r="AP25" s="26" t="n">
        <f aca="false">IF(OR(Y25="",$E25="",N($E25)&lt;=0),"",(Y25-ABS(N($F25)))/$E25)</f>
        <v>5.07966602887459</v>
      </c>
    </row>
    <row r="26" customFormat="false" ht="15" hidden="false" customHeight="true" outlineLevel="0" collapsed="false">
      <c r="A26" s="9" t="s">
        <v>121</v>
      </c>
      <c r="B26" s="11" t="s">
        <v>326</v>
      </c>
      <c r="C26" s="11" t="s">
        <v>327</v>
      </c>
      <c r="D26" s="21" t="n">
        <v>3.98385</v>
      </c>
      <c r="E26" s="22" t="n">
        <v>1.26</v>
      </c>
      <c r="F26" s="22" t="n">
        <v>0.247</v>
      </c>
      <c r="G26" s="23" t="n">
        <v>1808</v>
      </c>
      <c r="H26" s="11" t="s">
        <v>328</v>
      </c>
      <c r="I26" s="24" t="n">
        <f aca="false">MATCH(A26,'TEa input'!$A$6:$A$68,0)</f>
        <v>11</v>
      </c>
      <c r="J26" s="25" t="n">
        <f aca="false">IF(INDEX('TEa input'!$E$6:$E$68,$I26)="","",INDEX('TEa input'!$E$6:$E$68,$I26))</f>
        <v>4</v>
      </c>
      <c r="K26" s="25" t="str">
        <f aca="false">IF(INDEX('TEa input'!$G$6:$G$68,$I26)="","",INDEX('TEa input'!$G$6:$G$68,$I26))</f>
        <v/>
      </c>
      <c r="L26" s="25" t="n">
        <f aca="false">IF(INDEX('TEa input'!$I$6:$I$68,$I26)="","",INDEX('TEa input'!$I$6:$I$68,$I26))</f>
        <v>4.5</v>
      </c>
      <c r="M26" s="25" t="str">
        <f aca="false">IF(INDEX('TEa input'!$K$6:$K$68,$I26)="","",INDEX('TEa input'!$K$6:$K$68,$I26))</f>
        <v/>
      </c>
      <c r="N26" s="25" t="n">
        <f aca="false">IF(INDEX('TEa input'!$M$6:$M$68,$I26)="","",INDEX('TEa input'!$M$6:$M$68,$I26))</f>
        <v>5</v>
      </c>
      <c r="O26" s="25" t="n">
        <f aca="false">IF(INDEX('TEa input'!$O$6:$O$68,$I26)="","",INDEX('TEa input'!$O$6:$O$68,$I26))</f>
        <v>6</v>
      </c>
      <c r="P26" s="25" t="n">
        <f aca="false">IF(INDEX('TEa input'!$Q$6:$Q$68,$I26)="","",INDEX('TEa input'!$Q$6:$Q$68,$I26))</f>
        <v>8</v>
      </c>
      <c r="Q26" s="25" t="n">
        <f aca="false">IF(INDEX('TEa input'!$R$6:$R$68,$I26)="","",INDEX('TEa input'!$R$6:$R$68,$I26))</f>
        <v>4.8</v>
      </c>
      <c r="R26" s="25" t="n">
        <f aca="false">IF(INDEX('TEa input'!$T$6:$T$68,$I26)="","",INDEX('TEa input'!$T$6:$T$68,$I26))</f>
        <v>9</v>
      </c>
      <c r="S26" s="25" t="str">
        <f aca="false">IF(INDEX('TEa input'!$Y$6:$Y$68,$I26)="","",INDEX('TEa input'!$Y$6:$Y$68,$I26))</f>
        <v/>
      </c>
      <c r="T26" s="25" t="str">
        <f aca="false">IF(INDEX('TEa input'!$Z$6:$Z$68,$I26)="","",INDEX('TEa input'!$Z$6:$Z$68,$I26))</f>
        <v/>
      </c>
      <c r="U26" s="25" t="str">
        <f aca="false">IF(INDEX('TEa input'!$AA$6:$AA$68,$I26)="","",INDEX('TEa input'!$AA$6:$AA$68,$I26))</f>
        <v/>
      </c>
      <c r="V26" s="25" t="str">
        <f aca="false">IF(INDEX('TEa input'!$AB$6:$AB$68,$I26)="","",INDEX('TEa input'!$AB$6:$AB$68,$I26))</f>
        <v/>
      </c>
      <c r="W26" s="25" t="n">
        <f aca="false">IF(INDEX('TEa input'!$AC$6:$AC$68,$I26)="","",INDEX('TEa input'!$AC$6:$AC$68,$I26))</f>
        <v>5.61</v>
      </c>
      <c r="X26" s="25" t="str">
        <f aca="false">IF(INDEX('TEa input'!$AD$6:$AD$68,$I26)="","",INDEX('TEa input'!$AD$6:$AD$68,$I26))</f>
        <v/>
      </c>
      <c r="Y26" s="25" t="str">
        <f aca="false">IF(INDEX('TEa input'!$AF$6:$AF$68,$I26)="","",INDEX('TEa input'!$AF$6:$AF$68,$I26))</f>
        <v/>
      </c>
      <c r="AA26" s="26" t="n">
        <f aca="false">IF(OR(J26="",$E26="",N($E26)&lt;=0),"",(J26-ABS(N($F26)))/$E26)</f>
        <v>2.97857142857143</v>
      </c>
      <c r="AB26" s="26" t="str">
        <f aca="false">IF(OR(K26="",$E26="",N($E26)&lt;=0),"",(K26-ABS(N($F26)))/$E26)</f>
        <v/>
      </c>
      <c r="AC26" s="26" t="n">
        <f aca="false">IF(OR(L26="",$E26="",N($E26)&lt;=0),"",(L26-ABS(N($F26)))/$E26)</f>
        <v>3.37539682539683</v>
      </c>
      <c r="AD26" s="26" t="str">
        <f aca="false">IF(OR(M26="",$E26="",N($E26)&lt;=0),"",(M26-ABS(N($F26)))/$E26)</f>
        <v/>
      </c>
      <c r="AE26" s="26" t="n">
        <f aca="false">IF(OR(N26="",$E26="",N($E26)&lt;=0),"",(N26-ABS(N($F26)))/$E26)</f>
        <v>3.77222222222222</v>
      </c>
      <c r="AF26" s="26" t="n">
        <f aca="false">IF(OR(O26="",$E26="",N($E26)&lt;=0),"",(O26-ABS(N($F26)))/$E26)</f>
        <v>4.56587301587302</v>
      </c>
      <c r="AG26" s="26" t="n">
        <f aca="false">IF(OR(P26="",$E26="",N($E26)&lt;=0),"",(P26-ABS(N($F26)))/$E26)</f>
        <v>6.1531746031746</v>
      </c>
      <c r="AH26" s="26" t="n">
        <f aca="false">IF(OR(Q26="",$E26="",N($E26)&lt;=0),"",(Q26-ABS(N($F26)))/$E26)</f>
        <v>3.61349206349206</v>
      </c>
      <c r="AI26" s="26" t="n">
        <f aca="false">IF(OR(R26="",$E26="",N($E26)&lt;=0),"",(R26-ABS(N($F26)))/$E26)</f>
        <v>6.9468253968254</v>
      </c>
      <c r="AJ26" s="26" t="str">
        <f aca="false">IF(OR(S26="",$E26="",N($E26)&lt;=0),"",(S26-ABS(N($F26)))/$E26)</f>
        <v/>
      </c>
      <c r="AK26" s="26" t="str">
        <f aca="false">IF(OR(T26="",$E26="",N($E26)&lt;=0),"",(T26-ABS(N($F26)))/$E26)</f>
        <v/>
      </c>
      <c r="AL26" s="26" t="str">
        <f aca="false">IF(OR(U26="",$E26="",N($E26)&lt;=0),"",(U26-ABS(N($F26)))/$E26)</f>
        <v/>
      </c>
      <c r="AM26" s="26" t="str">
        <f aca="false">IF(OR(V26="",$E26="",N($E26)&lt;=0),"",(V26-ABS(N($F26)))/$E26)</f>
        <v/>
      </c>
      <c r="AN26" s="26" t="n">
        <f aca="false">IF(OR(W26="",$E26="",N($E26)&lt;=0),"",(W26-ABS(N($F26)))/$E26)</f>
        <v>4.25634920634921</v>
      </c>
      <c r="AO26" s="26" t="str">
        <f aca="false">IF(OR(X26="",$E26="",N($E26)&lt;=0),"",(X26-ABS(N($F26)))/$E26)</f>
        <v/>
      </c>
      <c r="AP26" s="26" t="str">
        <f aca="false">IF(OR(Y26="",$E26="",N($E26)&lt;=0),"",(Y26-ABS(N($F26)))/$E26)</f>
        <v/>
      </c>
    </row>
    <row r="27" customFormat="false" ht="15" hidden="false" customHeight="true" outlineLevel="0" collapsed="false">
      <c r="A27" s="9" t="s">
        <v>121</v>
      </c>
      <c r="B27" s="11" t="s">
        <v>329</v>
      </c>
      <c r="C27" s="11" t="s">
        <v>330</v>
      </c>
      <c r="D27" s="21" t="n">
        <v>5.96913</v>
      </c>
      <c r="E27" s="22" t="n">
        <v>0.824</v>
      </c>
      <c r="F27" s="22" t="n">
        <v>0.245</v>
      </c>
      <c r="G27" s="23" t="n">
        <v>1805</v>
      </c>
      <c r="H27" s="11" t="s">
        <v>339</v>
      </c>
      <c r="I27" s="24" t="n">
        <f aca="false">MATCH(A27,'TEa input'!$A$6:$A$68,0)</f>
        <v>11</v>
      </c>
      <c r="J27" s="25" t="n">
        <f aca="false">IF(INDEX('TEa input'!$E$6:$E$68,$I27)="","",INDEX('TEa input'!$E$6:$E$68,$I27))</f>
        <v>4</v>
      </c>
      <c r="K27" s="25" t="str">
        <f aca="false">IF(INDEX('TEa input'!$G$6:$G$68,$I27)="","",INDEX('TEa input'!$G$6:$G$68,$I27))</f>
        <v/>
      </c>
      <c r="L27" s="25" t="n">
        <f aca="false">IF(INDEX('TEa input'!$I$6:$I$68,$I27)="","",INDEX('TEa input'!$I$6:$I$68,$I27))</f>
        <v>4.5</v>
      </c>
      <c r="M27" s="25" t="str">
        <f aca="false">IF(INDEX('TEa input'!$K$6:$K$68,$I27)="","",INDEX('TEa input'!$K$6:$K$68,$I27))</f>
        <v/>
      </c>
      <c r="N27" s="25" t="n">
        <f aca="false">IF(INDEX('TEa input'!$M$6:$M$68,$I27)="","",INDEX('TEa input'!$M$6:$M$68,$I27))</f>
        <v>5</v>
      </c>
      <c r="O27" s="25" t="n">
        <f aca="false">IF(INDEX('TEa input'!$O$6:$O$68,$I27)="","",INDEX('TEa input'!$O$6:$O$68,$I27))</f>
        <v>6</v>
      </c>
      <c r="P27" s="25" t="n">
        <f aca="false">IF(INDEX('TEa input'!$Q$6:$Q$68,$I27)="","",INDEX('TEa input'!$Q$6:$Q$68,$I27))</f>
        <v>8</v>
      </c>
      <c r="Q27" s="25" t="n">
        <f aca="false">IF(INDEX('TEa input'!$R$6:$R$68,$I27)="","",INDEX('TEa input'!$R$6:$R$68,$I27))</f>
        <v>4.8</v>
      </c>
      <c r="R27" s="25" t="n">
        <f aca="false">IF(INDEX('TEa input'!$T$6:$T$68,$I27)="","",INDEX('TEa input'!$T$6:$T$68,$I27))</f>
        <v>9</v>
      </c>
      <c r="S27" s="25" t="str">
        <f aca="false">IF(INDEX('TEa input'!$Y$6:$Y$68,$I27)="","",INDEX('TEa input'!$Y$6:$Y$68,$I27))</f>
        <v/>
      </c>
      <c r="T27" s="25" t="str">
        <f aca="false">IF(INDEX('TEa input'!$Z$6:$Z$68,$I27)="","",INDEX('TEa input'!$Z$6:$Z$68,$I27))</f>
        <v/>
      </c>
      <c r="U27" s="25" t="str">
        <f aca="false">IF(INDEX('TEa input'!$AA$6:$AA$68,$I27)="","",INDEX('TEa input'!$AA$6:$AA$68,$I27))</f>
        <v/>
      </c>
      <c r="V27" s="25" t="str">
        <f aca="false">IF(INDEX('TEa input'!$AB$6:$AB$68,$I27)="","",INDEX('TEa input'!$AB$6:$AB$68,$I27))</f>
        <v/>
      </c>
      <c r="W27" s="25" t="n">
        <f aca="false">IF(INDEX('TEa input'!$AC$6:$AC$68,$I27)="","",INDEX('TEa input'!$AC$6:$AC$68,$I27))</f>
        <v>5.61</v>
      </c>
      <c r="X27" s="25" t="str">
        <f aca="false">IF(INDEX('TEa input'!$AD$6:$AD$68,$I27)="","",INDEX('TEa input'!$AD$6:$AD$68,$I27))</f>
        <v/>
      </c>
      <c r="Y27" s="25" t="str">
        <f aca="false">IF(INDEX('TEa input'!$AF$6:$AF$68,$I27)="","",INDEX('TEa input'!$AF$6:$AF$68,$I27))</f>
        <v/>
      </c>
      <c r="AA27" s="26" t="n">
        <f aca="false">IF(OR(J27="",$E27="",N($E27)&lt;=0),"",(J27-ABS(N($F27)))/$E27)</f>
        <v>4.55703883495146</v>
      </c>
      <c r="AB27" s="26" t="str">
        <f aca="false">IF(OR(K27="",$E27="",N($E27)&lt;=0),"",(K27-ABS(N($F27)))/$E27)</f>
        <v/>
      </c>
      <c r="AC27" s="26" t="n">
        <f aca="false">IF(OR(L27="",$E27="",N($E27)&lt;=0),"",(L27-ABS(N($F27)))/$E27)</f>
        <v>5.16383495145631</v>
      </c>
      <c r="AD27" s="26" t="str">
        <f aca="false">IF(OR(M27="",$E27="",N($E27)&lt;=0),"",(M27-ABS(N($F27)))/$E27)</f>
        <v/>
      </c>
      <c r="AE27" s="26" t="n">
        <f aca="false">IF(OR(N27="",$E27="",N($E27)&lt;=0),"",(N27-ABS(N($F27)))/$E27)</f>
        <v>5.77063106796117</v>
      </c>
      <c r="AF27" s="26" t="n">
        <f aca="false">IF(OR(O27="",$E27="",N($E27)&lt;=0),"",(O27-ABS(N($F27)))/$E27)</f>
        <v>6.98422330097087</v>
      </c>
      <c r="AG27" s="26" t="n">
        <f aca="false">IF(OR(P27="",$E27="",N($E27)&lt;=0),"",(P27-ABS(N($F27)))/$E27)</f>
        <v>9.41140776699029</v>
      </c>
      <c r="AH27" s="26" t="n">
        <f aca="false">IF(OR(Q27="",$E27="",N($E27)&lt;=0),"",(Q27-ABS(N($F27)))/$E27)</f>
        <v>5.52791262135922</v>
      </c>
      <c r="AI27" s="26" t="n">
        <f aca="false">IF(OR(R27="",$E27="",N($E27)&lt;=0),"",(R27-ABS(N($F27)))/$E27)</f>
        <v>10.625</v>
      </c>
      <c r="AJ27" s="26" t="str">
        <f aca="false">IF(OR(S27="",$E27="",N($E27)&lt;=0),"",(S27-ABS(N($F27)))/$E27)</f>
        <v/>
      </c>
      <c r="AK27" s="26" t="str">
        <f aca="false">IF(OR(T27="",$E27="",N($E27)&lt;=0),"",(T27-ABS(N($F27)))/$E27)</f>
        <v/>
      </c>
      <c r="AL27" s="26" t="str">
        <f aca="false">IF(OR(U27="",$E27="",N($E27)&lt;=0),"",(U27-ABS(N($F27)))/$E27)</f>
        <v/>
      </c>
      <c r="AM27" s="26" t="str">
        <f aca="false">IF(OR(V27="",$E27="",N($E27)&lt;=0),"",(V27-ABS(N($F27)))/$E27)</f>
        <v/>
      </c>
      <c r="AN27" s="26" t="n">
        <f aca="false">IF(OR(W27="",$E27="",N($E27)&lt;=0),"",(W27-ABS(N($F27)))/$E27)</f>
        <v>6.51092233009709</v>
      </c>
      <c r="AO27" s="26" t="str">
        <f aca="false">IF(OR(X27="",$E27="",N($E27)&lt;=0),"",(X27-ABS(N($F27)))/$E27)</f>
        <v/>
      </c>
      <c r="AP27" s="26" t="str">
        <f aca="false">IF(OR(Y27="",$E27="",N($E27)&lt;=0),"",(Y27-ABS(N($F27)))/$E27)</f>
        <v/>
      </c>
    </row>
    <row r="28" customFormat="false" ht="15" hidden="false" customHeight="true" outlineLevel="0" collapsed="false">
      <c r="A28" s="9" t="s">
        <v>129</v>
      </c>
      <c r="B28" s="11" t="s">
        <v>326</v>
      </c>
      <c r="C28" s="11" t="s">
        <v>327</v>
      </c>
      <c r="D28" s="21" t="n">
        <v>97.5954</v>
      </c>
      <c r="E28" s="22" t="n">
        <v>1.184</v>
      </c>
      <c r="F28" s="22" t="n">
        <v>0.193</v>
      </c>
      <c r="G28" s="23" t="n">
        <v>1792</v>
      </c>
      <c r="H28" s="11" t="s">
        <v>328</v>
      </c>
      <c r="I28" s="24" t="n">
        <f aca="false">MATCH(A28,'TEa input'!$A$6:$A$68,0)</f>
        <v>12</v>
      </c>
      <c r="J28" s="25" t="n">
        <f aca="false">IF(INDEX('TEa input'!$E$6:$E$68,$I28)="","",INDEX('TEa input'!$E$6:$E$68,$I28))</f>
        <v>3</v>
      </c>
      <c r="K28" s="25" t="n">
        <f aca="false">IF(INDEX('TEa input'!$G$6:$G$68,$I28)="","",INDEX('TEa input'!$G$6:$G$68,$I28))</f>
        <v>5</v>
      </c>
      <c r="L28" s="25" t="n">
        <f aca="false">IF(INDEX('TEa input'!$I$6:$I$68,$I28)="","",INDEX('TEa input'!$I$6:$I$68,$I28))</f>
        <v>4.5</v>
      </c>
      <c r="M28" s="25" t="str">
        <f aca="false">IF(INDEX('TEa input'!$K$6:$K$68,$I28)="","",INDEX('TEa input'!$K$6:$K$68,$I28))</f>
        <v/>
      </c>
      <c r="N28" s="25" t="n">
        <f aca="false">IF(INDEX('TEa input'!$M$6:$M$68,$I28)="","",INDEX('TEa input'!$M$6:$M$68,$I28))</f>
        <v>3</v>
      </c>
      <c r="O28" s="25" t="n">
        <f aca="false">IF(INDEX('TEa input'!$O$6:$O$68,$I28)="","",INDEX('TEa input'!$O$6:$O$68,$I28))</f>
        <v>4</v>
      </c>
      <c r="P28" s="25" t="n">
        <f aca="false">IF(INDEX('TEa input'!$Q$6:$Q$68,$I28)="","",INDEX('TEa input'!$Q$6:$Q$68,$I28))</f>
        <v>7</v>
      </c>
      <c r="Q28" s="25" t="n">
        <f aca="false">IF(INDEX('TEa input'!$R$6:$R$68,$I28)="","",INDEX('TEa input'!$R$6:$R$68,$I28))</f>
        <v>5.1</v>
      </c>
      <c r="R28" s="25" t="str">
        <f aca="false">IF(INDEX('TEa input'!$T$6:$T$68,$I28)="","",INDEX('TEa input'!$T$6:$T$68,$I28))</f>
        <v/>
      </c>
      <c r="S28" s="25" t="str">
        <f aca="false">IF(INDEX('TEa input'!$Y$6:$Y$68,$I28)="","",INDEX('TEa input'!$Y$6:$Y$68,$I28))</f>
        <v/>
      </c>
      <c r="T28" s="25" t="str">
        <f aca="false">IF(INDEX('TEa input'!$Z$6:$Z$68,$I28)="","",INDEX('TEa input'!$Z$6:$Z$68,$I28))</f>
        <v/>
      </c>
      <c r="U28" s="25" t="str">
        <f aca="false">IF(INDEX('TEa input'!$AA$6:$AA$68,$I28)="","",INDEX('TEa input'!$AA$6:$AA$68,$I28))</f>
        <v/>
      </c>
      <c r="V28" s="25" t="str">
        <f aca="false">IF(INDEX('TEa input'!$AB$6:$AB$68,$I28)="","",INDEX('TEa input'!$AB$6:$AB$68,$I28))</f>
        <v/>
      </c>
      <c r="W28" s="25" t="n">
        <f aca="false">IF(INDEX('TEa input'!$AC$6:$AC$68,$I28)="","",INDEX('TEa input'!$AC$6:$AC$68,$I28))</f>
        <v>1.5</v>
      </c>
      <c r="X28" s="25" t="str">
        <f aca="false">IF(INDEX('TEa input'!$AD$6:$AD$68,$I28)="","",INDEX('TEa input'!$AD$6:$AD$68,$I28))</f>
        <v/>
      </c>
      <c r="Y28" s="25" t="str">
        <f aca="false">IF(INDEX('TEa input'!$AF$6:$AF$68,$I28)="","",INDEX('TEa input'!$AF$6:$AF$68,$I28))</f>
        <v/>
      </c>
      <c r="AA28" s="26" t="n">
        <f aca="false">IF(OR(J28="",$E28="",N($E28)&lt;=0),"",(J28-ABS(N($F28)))/$E28)</f>
        <v>2.37077702702703</v>
      </c>
      <c r="AB28" s="26" t="n">
        <f aca="false">IF(OR(K28="",$E28="",N($E28)&lt;=0),"",(K28-ABS(N($F28)))/$E28)</f>
        <v>4.05996621621622</v>
      </c>
      <c r="AC28" s="26" t="n">
        <f aca="false">IF(OR(L28="",$E28="",N($E28)&lt;=0),"",(L28-ABS(N($F28)))/$E28)</f>
        <v>3.63766891891892</v>
      </c>
      <c r="AD28" s="26" t="str">
        <f aca="false">IF(OR(M28="",$E28="",N($E28)&lt;=0),"",(M28-ABS(N($F28)))/$E28)</f>
        <v/>
      </c>
      <c r="AE28" s="26" t="n">
        <f aca="false">IF(OR(N28="",$E28="",N($E28)&lt;=0),"",(N28-ABS(N($F28)))/$E28)</f>
        <v>2.37077702702703</v>
      </c>
      <c r="AF28" s="26" t="n">
        <f aca="false">IF(OR(O28="",$E28="",N($E28)&lt;=0),"",(O28-ABS(N($F28)))/$E28)</f>
        <v>3.21537162162162</v>
      </c>
      <c r="AG28" s="26" t="n">
        <f aca="false">IF(OR(P28="",$E28="",N($E28)&lt;=0),"",(P28-ABS(N($F28)))/$E28)</f>
        <v>5.74915540540541</v>
      </c>
      <c r="AH28" s="26" t="n">
        <f aca="false">IF(OR(Q28="",$E28="",N($E28)&lt;=0),"",(Q28-ABS(N($F28)))/$E28)</f>
        <v>4.14442567567568</v>
      </c>
      <c r="AI28" s="26" t="str">
        <f aca="false">IF(OR(R28="",$E28="",N($E28)&lt;=0),"",(R28-ABS(N($F28)))/$E28)</f>
        <v/>
      </c>
      <c r="AJ28" s="26" t="str">
        <f aca="false">IF(OR(S28="",$E28="",N($E28)&lt;=0),"",(S28-ABS(N($F28)))/$E28)</f>
        <v/>
      </c>
      <c r="AK28" s="26" t="str">
        <f aca="false">IF(OR(T28="",$E28="",N($E28)&lt;=0),"",(T28-ABS(N($F28)))/$E28)</f>
        <v/>
      </c>
      <c r="AL28" s="26" t="str">
        <f aca="false">IF(OR(U28="",$E28="",N($E28)&lt;=0),"",(U28-ABS(N($F28)))/$E28)</f>
        <v/>
      </c>
      <c r="AM28" s="26" t="str">
        <f aca="false">IF(OR(V28="",$E28="",N($E28)&lt;=0),"",(V28-ABS(N($F28)))/$E28)</f>
        <v/>
      </c>
      <c r="AN28" s="26" t="n">
        <f aca="false">IF(OR(W28="",$E28="",N($E28)&lt;=0),"",(W28-ABS(N($F28)))/$E28)</f>
        <v>1.10388513513514</v>
      </c>
      <c r="AO28" s="26" t="str">
        <f aca="false">IF(OR(X28="",$E28="",N($E28)&lt;=0),"",(X28-ABS(N($F28)))/$E28)</f>
        <v/>
      </c>
      <c r="AP28" s="26" t="str">
        <f aca="false">IF(OR(Y28="",$E28="",N($E28)&lt;=0),"",(Y28-ABS(N($F28)))/$E28)</f>
        <v/>
      </c>
    </row>
    <row r="29" customFormat="false" ht="15" hidden="false" customHeight="true" outlineLevel="0" collapsed="false">
      <c r="A29" s="9" t="s">
        <v>129</v>
      </c>
      <c r="B29" s="11" t="s">
        <v>329</v>
      </c>
      <c r="C29" s="11" t="s">
        <v>330</v>
      </c>
      <c r="D29" s="21" t="n">
        <v>119.793</v>
      </c>
      <c r="E29" s="22" t="n">
        <v>0.927</v>
      </c>
      <c r="F29" s="22" t="n">
        <v>0.254</v>
      </c>
      <c r="G29" s="23" t="n">
        <v>1796</v>
      </c>
      <c r="H29" s="11" t="s">
        <v>339</v>
      </c>
      <c r="I29" s="24" t="n">
        <f aca="false">MATCH(A29,'TEa input'!$A$6:$A$68,0)</f>
        <v>12</v>
      </c>
      <c r="J29" s="25" t="n">
        <f aca="false">IF(INDEX('TEa input'!$E$6:$E$68,$I29)="","",INDEX('TEa input'!$E$6:$E$68,$I29))</f>
        <v>3</v>
      </c>
      <c r="K29" s="25" t="n">
        <f aca="false">IF(INDEX('TEa input'!$G$6:$G$68,$I29)="","",INDEX('TEa input'!$G$6:$G$68,$I29))</f>
        <v>5</v>
      </c>
      <c r="L29" s="25" t="n">
        <f aca="false">IF(INDEX('TEa input'!$I$6:$I$68,$I29)="","",INDEX('TEa input'!$I$6:$I$68,$I29))</f>
        <v>4.5</v>
      </c>
      <c r="M29" s="25" t="str">
        <f aca="false">IF(INDEX('TEa input'!$K$6:$K$68,$I29)="","",INDEX('TEa input'!$K$6:$K$68,$I29))</f>
        <v/>
      </c>
      <c r="N29" s="25" t="n">
        <f aca="false">IF(INDEX('TEa input'!$M$6:$M$68,$I29)="","",INDEX('TEa input'!$M$6:$M$68,$I29))</f>
        <v>3</v>
      </c>
      <c r="O29" s="25" t="n">
        <f aca="false">IF(INDEX('TEa input'!$O$6:$O$68,$I29)="","",INDEX('TEa input'!$O$6:$O$68,$I29))</f>
        <v>4</v>
      </c>
      <c r="P29" s="25" t="n">
        <f aca="false">IF(INDEX('TEa input'!$Q$6:$Q$68,$I29)="","",INDEX('TEa input'!$Q$6:$Q$68,$I29))</f>
        <v>7</v>
      </c>
      <c r="Q29" s="25" t="n">
        <f aca="false">IF(INDEX('TEa input'!$R$6:$R$68,$I29)="","",INDEX('TEa input'!$R$6:$R$68,$I29))</f>
        <v>5.1</v>
      </c>
      <c r="R29" s="25" t="str">
        <f aca="false">IF(INDEX('TEa input'!$T$6:$T$68,$I29)="","",INDEX('TEa input'!$T$6:$T$68,$I29))</f>
        <v/>
      </c>
      <c r="S29" s="25" t="str">
        <f aca="false">IF(INDEX('TEa input'!$Y$6:$Y$68,$I29)="","",INDEX('TEa input'!$Y$6:$Y$68,$I29))</f>
        <v/>
      </c>
      <c r="T29" s="25" t="str">
        <f aca="false">IF(INDEX('TEa input'!$Z$6:$Z$68,$I29)="","",INDEX('TEa input'!$Z$6:$Z$68,$I29))</f>
        <v/>
      </c>
      <c r="U29" s="25" t="str">
        <f aca="false">IF(INDEX('TEa input'!$AA$6:$AA$68,$I29)="","",INDEX('TEa input'!$AA$6:$AA$68,$I29))</f>
        <v/>
      </c>
      <c r="V29" s="25" t="str">
        <f aca="false">IF(INDEX('TEa input'!$AB$6:$AB$68,$I29)="","",INDEX('TEa input'!$AB$6:$AB$68,$I29))</f>
        <v/>
      </c>
      <c r="W29" s="25" t="n">
        <f aca="false">IF(INDEX('TEa input'!$AC$6:$AC$68,$I29)="","",INDEX('TEa input'!$AC$6:$AC$68,$I29))</f>
        <v>1.5</v>
      </c>
      <c r="X29" s="25" t="str">
        <f aca="false">IF(INDEX('TEa input'!$AD$6:$AD$68,$I29)="","",INDEX('TEa input'!$AD$6:$AD$68,$I29))</f>
        <v/>
      </c>
      <c r="Y29" s="25" t="str">
        <f aca="false">IF(INDEX('TEa input'!$AF$6:$AF$68,$I29)="","",INDEX('TEa input'!$AF$6:$AF$68,$I29))</f>
        <v/>
      </c>
      <c r="AA29" s="26" t="n">
        <f aca="false">IF(OR(J29="",$E29="",N($E29)&lt;=0),"",(J29-ABS(N($F29)))/$E29)</f>
        <v>2.96224379719525</v>
      </c>
      <c r="AB29" s="26" t="n">
        <f aca="false">IF(OR(K29="",$E29="",N($E29)&lt;=0),"",(K29-ABS(N($F29)))/$E29)</f>
        <v>5.11974110032362</v>
      </c>
      <c r="AC29" s="26" t="n">
        <f aca="false">IF(OR(L29="",$E29="",N($E29)&lt;=0),"",(L29-ABS(N($F29)))/$E29)</f>
        <v>4.58036677454153</v>
      </c>
      <c r="AD29" s="26" t="str">
        <f aca="false">IF(OR(M29="",$E29="",N($E29)&lt;=0),"",(M29-ABS(N($F29)))/$E29)</f>
        <v/>
      </c>
      <c r="AE29" s="26" t="n">
        <f aca="false">IF(OR(N29="",$E29="",N($E29)&lt;=0),"",(N29-ABS(N($F29)))/$E29)</f>
        <v>2.96224379719525</v>
      </c>
      <c r="AF29" s="26" t="n">
        <f aca="false">IF(OR(O29="",$E29="",N($E29)&lt;=0),"",(O29-ABS(N($F29)))/$E29)</f>
        <v>4.04099244875944</v>
      </c>
      <c r="AG29" s="26" t="n">
        <f aca="false">IF(OR(P29="",$E29="",N($E29)&lt;=0),"",(P29-ABS(N($F29)))/$E29)</f>
        <v>7.277238403452</v>
      </c>
      <c r="AH29" s="26" t="n">
        <f aca="false">IF(OR(Q29="",$E29="",N($E29)&lt;=0),"",(Q29-ABS(N($F29)))/$E29)</f>
        <v>5.22761596548004</v>
      </c>
      <c r="AI29" s="26" t="str">
        <f aca="false">IF(OR(R29="",$E29="",N($E29)&lt;=0),"",(R29-ABS(N($F29)))/$E29)</f>
        <v/>
      </c>
      <c r="AJ29" s="26" t="str">
        <f aca="false">IF(OR(S29="",$E29="",N($E29)&lt;=0),"",(S29-ABS(N($F29)))/$E29)</f>
        <v/>
      </c>
      <c r="AK29" s="26" t="str">
        <f aca="false">IF(OR(T29="",$E29="",N($E29)&lt;=0),"",(T29-ABS(N($F29)))/$E29)</f>
        <v/>
      </c>
      <c r="AL29" s="26" t="str">
        <f aca="false">IF(OR(U29="",$E29="",N($E29)&lt;=0),"",(U29-ABS(N($F29)))/$E29)</f>
        <v/>
      </c>
      <c r="AM29" s="26" t="str">
        <f aca="false">IF(OR(V29="",$E29="",N($E29)&lt;=0),"",(V29-ABS(N($F29)))/$E29)</f>
        <v/>
      </c>
      <c r="AN29" s="26" t="n">
        <f aca="false">IF(OR(W29="",$E29="",N($E29)&lt;=0),"",(W29-ABS(N($F29)))/$E29)</f>
        <v>1.34412081984898</v>
      </c>
      <c r="AO29" s="26" t="str">
        <f aca="false">IF(OR(X29="",$E29="",N($E29)&lt;=0),"",(X29-ABS(N($F29)))/$E29)</f>
        <v/>
      </c>
      <c r="AP29" s="26" t="str">
        <f aca="false">IF(OR(Y29="",$E29="",N($E29)&lt;=0),"",(Y29-ABS(N($F29)))/$E29)</f>
        <v/>
      </c>
    </row>
    <row r="30" customFormat="false" ht="15" hidden="false" customHeight="true" outlineLevel="0" collapsed="false">
      <c r="A30" s="9" t="s">
        <v>132</v>
      </c>
      <c r="B30" s="11" t="s">
        <v>326</v>
      </c>
      <c r="C30" s="11" t="s">
        <v>327</v>
      </c>
      <c r="D30" s="21" t="n">
        <v>6.34951</v>
      </c>
      <c r="E30" s="22" t="n">
        <v>3.572</v>
      </c>
      <c r="F30" s="22" t="n">
        <v>0.469</v>
      </c>
      <c r="G30" s="23" t="n">
        <v>935</v>
      </c>
      <c r="H30" s="11" t="s">
        <v>332</v>
      </c>
      <c r="I30" s="24" t="n">
        <f aca="false">MATCH(A30,'TEa input'!$A$6:$A$68,0)</f>
        <v>13</v>
      </c>
      <c r="J30" s="25" t="n">
        <f aca="false">IF(INDEX('TEa input'!$E$6:$E$68,$I30)="","",INDEX('TEa input'!$E$6:$E$68,$I30))</f>
        <v>10</v>
      </c>
      <c r="K30" s="25" t="n">
        <f aca="false">IF(INDEX('TEa input'!$G$6:$G$68,$I30)="","",INDEX('TEa input'!$G$6:$G$68,$I30))</f>
        <v>9</v>
      </c>
      <c r="L30" s="25" t="n">
        <f aca="false">IF(INDEX('TEa input'!$I$6:$I$68,$I30)="","",INDEX('TEa input'!$I$6:$I$68,$I30))</f>
        <v>10.5</v>
      </c>
      <c r="M30" s="25" t="str">
        <f aca="false">IF(INDEX('TEa input'!$K$6:$K$68,$I30)="","",INDEX('TEa input'!$K$6:$K$68,$I30))</f>
        <v/>
      </c>
      <c r="N30" s="25" t="n">
        <f aca="false">IF(INDEX('TEa input'!$M$6:$M$68,$I30)="","",INDEX('TEa input'!$M$6:$M$68,$I30))</f>
        <v>12</v>
      </c>
      <c r="O30" s="25" t="n">
        <f aca="false">IF(INDEX('TEa input'!$O$6:$O$68,$I30)="","",INDEX('TEa input'!$O$6:$O$68,$I30))</f>
        <v>8</v>
      </c>
      <c r="P30" s="25" t="n">
        <f aca="false">IF(INDEX('TEa input'!$Q$6:$Q$68,$I30)="","",INDEX('TEa input'!$Q$6:$Q$68,$I30))</f>
        <v>15</v>
      </c>
      <c r="Q30" s="25" t="n">
        <f aca="false">IF(INDEX('TEa input'!$R$6:$R$68,$I30)="","",INDEX('TEa input'!$R$6:$R$68,$I30))</f>
        <v>9</v>
      </c>
      <c r="R30" s="25" t="n">
        <f aca="false">IF(INDEX('TEa input'!$T$6:$T$68,$I30)="","",INDEX('TEa input'!$T$6:$T$68,$I30))</f>
        <v>20</v>
      </c>
      <c r="S30" s="25" t="str">
        <f aca="false">IF(INDEX('TEa input'!$Y$6:$Y$68,$I30)="","",INDEX('TEa input'!$Y$6:$Y$68,$I30))</f>
        <v/>
      </c>
      <c r="T30" s="25" t="str">
        <f aca="false">IF(INDEX('TEa input'!$Z$6:$Z$68,$I30)="","",INDEX('TEa input'!$Z$6:$Z$68,$I30))</f>
        <v/>
      </c>
      <c r="U30" s="25" t="str">
        <f aca="false">IF(INDEX('TEa input'!$AA$6:$AA$68,$I30)="","",INDEX('TEa input'!$AA$6:$AA$68,$I30))</f>
        <v/>
      </c>
      <c r="V30" s="25" t="str">
        <f aca="false">IF(INDEX('TEa input'!$AB$6:$AB$68,$I30)="","",INDEX('TEa input'!$AB$6:$AB$68,$I30))</f>
        <v/>
      </c>
      <c r="W30" s="25" t="n">
        <f aca="false">IF(INDEX('TEa input'!$AC$6:$AC$68,$I30)="","",INDEX('TEa input'!$AC$6:$AC$68,$I30))</f>
        <v>15.55</v>
      </c>
      <c r="X30" s="25" t="str">
        <f aca="false">IF(INDEX('TEa input'!$AD$6:$AD$68,$I30)="","",INDEX('TEa input'!$AD$6:$AD$68,$I30))</f>
        <v/>
      </c>
      <c r="Y30" s="25" t="str">
        <f aca="false">IF(INDEX('TEa input'!$AF$6:$AF$68,$I30)="","",INDEX('TEa input'!$AF$6:$AF$68,$I30))</f>
        <v/>
      </c>
      <c r="AA30" s="26" t="n">
        <f aca="false">IF(OR(J30="",$E30="",N($E30)&lt;=0),"",(J30-ABS(N($F30)))/$E30)</f>
        <v>2.66825307950728</v>
      </c>
      <c r="AB30" s="26" t="n">
        <f aca="false">IF(OR(K30="",$E30="",N($E30)&lt;=0),"",(K30-ABS(N($F30)))/$E30)</f>
        <v>2.38829787234043</v>
      </c>
      <c r="AC30" s="26" t="n">
        <f aca="false">IF(OR(L30="",$E30="",N($E30)&lt;=0),"",(L30-ABS(N($F30)))/$E30)</f>
        <v>2.80823068309071</v>
      </c>
      <c r="AD30" s="26" t="str">
        <f aca="false">IF(OR(M30="",$E30="",N($E30)&lt;=0),"",(M30-ABS(N($F30)))/$E30)</f>
        <v/>
      </c>
      <c r="AE30" s="26" t="n">
        <f aca="false">IF(OR(N30="",$E30="",N($E30)&lt;=0),"",(N30-ABS(N($F30)))/$E30)</f>
        <v>3.22816349384099</v>
      </c>
      <c r="AF30" s="26" t="n">
        <f aca="false">IF(OR(O30="",$E30="",N($E30)&lt;=0),"",(O30-ABS(N($F30)))/$E30)</f>
        <v>2.10834266517357</v>
      </c>
      <c r="AG30" s="26" t="n">
        <f aca="false">IF(OR(P30="",$E30="",N($E30)&lt;=0),"",(P30-ABS(N($F30)))/$E30)</f>
        <v>4.06802911534155</v>
      </c>
      <c r="AH30" s="26" t="n">
        <f aca="false">IF(OR(Q30="",$E30="",N($E30)&lt;=0),"",(Q30-ABS(N($F30)))/$E30)</f>
        <v>2.38829787234043</v>
      </c>
      <c r="AI30" s="26" t="n">
        <f aca="false">IF(OR(R30="",$E30="",N($E30)&lt;=0),"",(R30-ABS(N($F30)))/$E30)</f>
        <v>5.46780515117581</v>
      </c>
      <c r="AJ30" s="26" t="str">
        <f aca="false">IF(OR(S30="",$E30="",N($E30)&lt;=0),"",(S30-ABS(N($F30)))/$E30)</f>
        <v/>
      </c>
      <c r="AK30" s="26" t="str">
        <f aca="false">IF(OR(T30="",$E30="",N($E30)&lt;=0),"",(T30-ABS(N($F30)))/$E30)</f>
        <v/>
      </c>
      <c r="AL30" s="26" t="str">
        <f aca="false">IF(OR(U30="",$E30="",N($E30)&lt;=0),"",(U30-ABS(N($F30)))/$E30)</f>
        <v/>
      </c>
      <c r="AM30" s="26" t="str">
        <f aca="false">IF(OR(V30="",$E30="",N($E30)&lt;=0),"",(V30-ABS(N($F30)))/$E30)</f>
        <v/>
      </c>
      <c r="AN30" s="26" t="n">
        <f aca="false">IF(OR(W30="",$E30="",N($E30)&lt;=0),"",(W30-ABS(N($F30)))/$E30)</f>
        <v>4.22200447928332</v>
      </c>
      <c r="AO30" s="26" t="str">
        <f aca="false">IF(OR(X30="",$E30="",N($E30)&lt;=0),"",(X30-ABS(N($F30)))/$E30)</f>
        <v/>
      </c>
      <c r="AP30" s="26" t="str">
        <f aca="false">IF(OR(Y30="",$E30="",N($E30)&lt;=0),"",(Y30-ABS(N($F30)))/$E30)</f>
        <v/>
      </c>
    </row>
    <row r="31" customFormat="false" ht="15" hidden="false" customHeight="true" outlineLevel="0" collapsed="false">
      <c r="A31" s="9" t="s">
        <v>132</v>
      </c>
      <c r="B31" s="11" t="s">
        <v>329</v>
      </c>
      <c r="C31" s="11" t="s">
        <v>330</v>
      </c>
      <c r="D31" s="21" t="n">
        <v>20.2041</v>
      </c>
      <c r="E31" s="22" t="n">
        <v>3.49</v>
      </c>
      <c r="F31" s="22" t="n">
        <v>0.19</v>
      </c>
      <c r="G31" s="23" t="n">
        <v>941</v>
      </c>
      <c r="H31" s="11" t="s">
        <v>332</v>
      </c>
      <c r="I31" s="24" t="n">
        <f aca="false">MATCH(A31,'TEa input'!$A$6:$A$68,0)</f>
        <v>13</v>
      </c>
      <c r="J31" s="25" t="n">
        <f aca="false">IF(INDEX('TEa input'!$E$6:$E$68,$I31)="","",INDEX('TEa input'!$E$6:$E$68,$I31))</f>
        <v>10</v>
      </c>
      <c r="K31" s="25" t="n">
        <f aca="false">IF(INDEX('TEa input'!$G$6:$G$68,$I31)="","",INDEX('TEa input'!$G$6:$G$68,$I31))</f>
        <v>9</v>
      </c>
      <c r="L31" s="25" t="n">
        <f aca="false">IF(INDEX('TEa input'!$I$6:$I$68,$I31)="","",INDEX('TEa input'!$I$6:$I$68,$I31))</f>
        <v>10.5</v>
      </c>
      <c r="M31" s="25" t="str">
        <f aca="false">IF(INDEX('TEa input'!$K$6:$K$68,$I31)="","",INDEX('TEa input'!$K$6:$K$68,$I31))</f>
        <v/>
      </c>
      <c r="N31" s="25" t="n">
        <f aca="false">IF(INDEX('TEa input'!$M$6:$M$68,$I31)="","",INDEX('TEa input'!$M$6:$M$68,$I31))</f>
        <v>12</v>
      </c>
      <c r="O31" s="25" t="n">
        <f aca="false">IF(INDEX('TEa input'!$O$6:$O$68,$I31)="","",INDEX('TEa input'!$O$6:$O$68,$I31))</f>
        <v>8</v>
      </c>
      <c r="P31" s="25" t="n">
        <f aca="false">IF(INDEX('TEa input'!$Q$6:$Q$68,$I31)="","",INDEX('TEa input'!$Q$6:$Q$68,$I31))</f>
        <v>15</v>
      </c>
      <c r="Q31" s="25" t="n">
        <f aca="false">IF(INDEX('TEa input'!$R$6:$R$68,$I31)="","",INDEX('TEa input'!$R$6:$R$68,$I31))</f>
        <v>9</v>
      </c>
      <c r="R31" s="25" t="n">
        <f aca="false">IF(INDEX('TEa input'!$T$6:$T$68,$I31)="","",INDEX('TEa input'!$T$6:$T$68,$I31))</f>
        <v>20</v>
      </c>
      <c r="S31" s="25" t="str">
        <f aca="false">IF(INDEX('TEa input'!$Y$6:$Y$68,$I31)="","",INDEX('TEa input'!$Y$6:$Y$68,$I31))</f>
        <v/>
      </c>
      <c r="T31" s="25" t="str">
        <f aca="false">IF(INDEX('TEa input'!$Z$6:$Z$68,$I31)="","",INDEX('TEa input'!$Z$6:$Z$68,$I31))</f>
        <v/>
      </c>
      <c r="U31" s="25" t="str">
        <f aca="false">IF(INDEX('TEa input'!$AA$6:$AA$68,$I31)="","",INDEX('TEa input'!$AA$6:$AA$68,$I31))</f>
        <v/>
      </c>
      <c r="V31" s="25" t="str">
        <f aca="false">IF(INDEX('TEa input'!$AB$6:$AB$68,$I31)="","",INDEX('TEa input'!$AB$6:$AB$68,$I31))</f>
        <v/>
      </c>
      <c r="W31" s="25" t="n">
        <f aca="false">IF(INDEX('TEa input'!$AC$6:$AC$68,$I31)="","",INDEX('TEa input'!$AC$6:$AC$68,$I31))</f>
        <v>15.55</v>
      </c>
      <c r="X31" s="25" t="str">
        <f aca="false">IF(INDEX('TEa input'!$AD$6:$AD$68,$I31)="","",INDEX('TEa input'!$AD$6:$AD$68,$I31))</f>
        <v/>
      </c>
      <c r="Y31" s="25" t="str">
        <f aca="false">IF(INDEX('TEa input'!$AF$6:$AF$68,$I31)="","",INDEX('TEa input'!$AF$6:$AF$68,$I31))</f>
        <v/>
      </c>
      <c r="AA31" s="26" t="n">
        <f aca="false">IF(OR(J31="",$E31="",N($E31)&lt;=0),"",(J31-ABS(N($F31)))/$E31)</f>
        <v>2.810888252149</v>
      </c>
      <c r="AB31" s="26" t="n">
        <f aca="false">IF(OR(K31="",$E31="",N($E31)&lt;=0),"",(K31-ABS(N($F31)))/$E31)</f>
        <v>2.5243553008596</v>
      </c>
      <c r="AC31" s="26" t="n">
        <f aca="false">IF(OR(L31="",$E31="",N($E31)&lt;=0),"",(L31-ABS(N($F31)))/$E31)</f>
        <v>2.9541547277937</v>
      </c>
      <c r="AD31" s="26" t="str">
        <f aca="false">IF(OR(M31="",$E31="",N($E31)&lt;=0),"",(M31-ABS(N($F31)))/$E31)</f>
        <v/>
      </c>
      <c r="AE31" s="26" t="n">
        <f aca="false">IF(OR(N31="",$E31="",N($E31)&lt;=0),"",(N31-ABS(N($F31)))/$E31)</f>
        <v>3.38395415472779</v>
      </c>
      <c r="AF31" s="26" t="n">
        <f aca="false">IF(OR(O31="",$E31="",N($E31)&lt;=0),"",(O31-ABS(N($F31)))/$E31)</f>
        <v>2.2378223495702</v>
      </c>
      <c r="AG31" s="26" t="n">
        <f aca="false">IF(OR(P31="",$E31="",N($E31)&lt;=0),"",(P31-ABS(N($F31)))/$E31)</f>
        <v>4.24355300859599</v>
      </c>
      <c r="AH31" s="26" t="n">
        <f aca="false">IF(OR(Q31="",$E31="",N($E31)&lt;=0),"",(Q31-ABS(N($F31)))/$E31)</f>
        <v>2.5243553008596</v>
      </c>
      <c r="AI31" s="26" t="n">
        <f aca="false">IF(OR(R31="",$E31="",N($E31)&lt;=0),"",(R31-ABS(N($F31)))/$E31)</f>
        <v>5.67621776504298</v>
      </c>
      <c r="AJ31" s="26" t="str">
        <f aca="false">IF(OR(S31="",$E31="",N($E31)&lt;=0),"",(S31-ABS(N($F31)))/$E31)</f>
        <v/>
      </c>
      <c r="AK31" s="26" t="str">
        <f aca="false">IF(OR(T31="",$E31="",N($E31)&lt;=0),"",(T31-ABS(N($F31)))/$E31)</f>
        <v/>
      </c>
      <c r="AL31" s="26" t="str">
        <f aca="false">IF(OR(U31="",$E31="",N($E31)&lt;=0),"",(U31-ABS(N($F31)))/$E31)</f>
        <v/>
      </c>
      <c r="AM31" s="26" t="str">
        <f aca="false">IF(OR(V31="",$E31="",N($E31)&lt;=0),"",(V31-ABS(N($F31)))/$E31)</f>
        <v/>
      </c>
      <c r="AN31" s="26" t="n">
        <f aca="false">IF(OR(W31="",$E31="",N($E31)&lt;=0),"",(W31-ABS(N($F31)))/$E31)</f>
        <v>4.40114613180516</v>
      </c>
      <c r="AO31" s="26" t="str">
        <f aca="false">IF(OR(X31="",$E31="",N($E31)&lt;=0),"",(X31-ABS(N($F31)))/$E31)</f>
        <v/>
      </c>
      <c r="AP31" s="26" t="str">
        <f aca="false">IF(OR(Y31="",$E31="",N($E31)&lt;=0),"",(Y31-ABS(N($F31)))/$E31)</f>
        <v/>
      </c>
    </row>
    <row r="32" customFormat="false" ht="15" hidden="false" customHeight="true" outlineLevel="0" collapsed="false">
      <c r="A32" s="9" t="s">
        <v>137</v>
      </c>
      <c r="B32" s="11" t="s">
        <v>326</v>
      </c>
      <c r="C32" s="11" t="s">
        <v>327</v>
      </c>
      <c r="D32" s="21" t="n">
        <v>288.646</v>
      </c>
      <c r="E32" s="22" t="n">
        <v>1.53</v>
      </c>
      <c r="F32" s="22" t="n">
        <v>0.058</v>
      </c>
      <c r="G32" s="23" t="n">
        <v>890</v>
      </c>
      <c r="H32" s="11" t="s">
        <v>333</v>
      </c>
      <c r="I32" s="24" t="n">
        <f aca="false">MATCH(A32,'TEa input'!$A$6:$A$68,0)</f>
        <v>14</v>
      </c>
      <c r="J32" s="25" t="n">
        <f aca="false">IF(INDEX('TEa input'!$E$6:$E$68,$I32)="","",INDEX('TEa input'!$E$6:$E$68,$I32))</f>
        <v>8</v>
      </c>
      <c r="K32" s="25" t="n">
        <f aca="false">IF(INDEX('TEa input'!$G$6:$G$68,$I32)="","",INDEX('TEa input'!$G$6:$G$68,$I32))</f>
        <v>10</v>
      </c>
      <c r="L32" s="25" t="n">
        <f aca="false">IF(INDEX('TEa input'!$I$6:$I$68,$I32)="","",INDEX('TEa input'!$I$6:$I$68,$I32))</f>
        <v>7</v>
      </c>
      <c r="M32" s="25" t="str">
        <f aca="false">IF(INDEX('TEa input'!$K$6:$K$68,$I32)="","",INDEX('TEa input'!$K$6:$K$68,$I32))</f>
        <v/>
      </c>
      <c r="N32" s="25" t="n">
        <f aca="false">IF(INDEX('TEa input'!$M$6:$M$68,$I32)="","",INDEX('TEa input'!$M$6:$M$68,$I32))</f>
        <v>8</v>
      </c>
      <c r="O32" s="25" t="n">
        <f aca="false">IF(INDEX('TEa input'!$O$6:$O$68,$I32)="","",INDEX('TEa input'!$O$6:$O$68,$I32))</f>
        <v>12</v>
      </c>
      <c r="P32" s="25" t="n">
        <f aca="false">IF(INDEX('TEa input'!$Q$6:$Q$68,$I32)="","",INDEX('TEa input'!$Q$6:$Q$68,$I32))</f>
        <v>14</v>
      </c>
      <c r="Q32" s="25" t="n">
        <f aca="false">IF(INDEX('TEa input'!$R$6:$R$68,$I32)="","",INDEX('TEa input'!$R$6:$R$68,$I32))</f>
        <v>8</v>
      </c>
      <c r="R32" s="25" t="n">
        <f aca="false">IF(INDEX('TEa input'!$T$6:$T$68,$I32)="","",INDEX('TEa input'!$T$6:$T$68,$I32))</f>
        <v>13</v>
      </c>
      <c r="S32" s="25" t="str">
        <f aca="false">IF(INDEX('TEa input'!$Y$6:$Y$68,$I32)="","",INDEX('TEa input'!$Y$6:$Y$68,$I32))</f>
        <v/>
      </c>
      <c r="T32" s="25" t="str">
        <f aca="false">IF(INDEX('TEa input'!$Z$6:$Z$68,$I32)="","",INDEX('TEa input'!$Z$6:$Z$68,$I32))</f>
        <v/>
      </c>
      <c r="U32" s="25" t="str">
        <f aca="false">IF(INDEX('TEa input'!$AA$6:$AA$68,$I32)="","",INDEX('TEa input'!$AA$6:$AA$68,$I32))</f>
        <v/>
      </c>
      <c r="V32" s="25" t="str">
        <f aca="false">IF(INDEX('TEa input'!$AB$6:$AB$68,$I32)="","",INDEX('TEa input'!$AB$6:$AB$68,$I32))</f>
        <v/>
      </c>
      <c r="W32" s="25" t="n">
        <f aca="false">IF(INDEX('TEa input'!$AC$6:$AC$68,$I32)="","",INDEX('TEa input'!$AC$6:$AC$68,$I32))</f>
        <v>11.97</v>
      </c>
      <c r="X32" s="25" t="str">
        <f aca="false">IF(INDEX('TEa input'!$AD$6:$AD$68,$I32)="","",INDEX('TEa input'!$AD$6:$AD$68,$I32))</f>
        <v/>
      </c>
      <c r="Y32" s="25" t="str">
        <f aca="false">IF(INDEX('TEa input'!$AF$6:$AF$68,$I32)="","",INDEX('TEa input'!$AF$6:$AF$68,$I32))</f>
        <v/>
      </c>
      <c r="AA32" s="26" t="n">
        <f aca="false">IF(OR(J32="",$E32="",N($E32)&lt;=0),"",(J32-ABS(N($F32)))/$E32)</f>
        <v>5.19084967320262</v>
      </c>
      <c r="AB32" s="26" t="n">
        <f aca="false">IF(OR(K32="",$E32="",N($E32)&lt;=0),"",(K32-ABS(N($F32)))/$E32)</f>
        <v>6.49803921568627</v>
      </c>
      <c r="AC32" s="26" t="n">
        <f aca="false">IF(OR(L32="",$E32="",N($E32)&lt;=0),"",(L32-ABS(N($F32)))/$E32)</f>
        <v>4.53725490196078</v>
      </c>
      <c r="AD32" s="26" t="str">
        <f aca="false">IF(OR(M32="",$E32="",N($E32)&lt;=0),"",(M32-ABS(N($F32)))/$E32)</f>
        <v/>
      </c>
      <c r="AE32" s="26" t="n">
        <f aca="false">IF(OR(N32="",$E32="",N($E32)&lt;=0),"",(N32-ABS(N($F32)))/$E32)</f>
        <v>5.19084967320262</v>
      </c>
      <c r="AF32" s="26" t="n">
        <f aca="false">IF(OR(O32="",$E32="",N($E32)&lt;=0),"",(O32-ABS(N($F32)))/$E32)</f>
        <v>7.80522875816993</v>
      </c>
      <c r="AG32" s="26" t="n">
        <f aca="false">IF(OR(P32="",$E32="",N($E32)&lt;=0),"",(P32-ABS(N($F32)))/$E32)</f>
        <v>9.11241830065359</v>
      </c>
      <c r="AH32" s="26" t="n">
        <f aca="false">IF(OR(Q32="",$E32="",N($E32)&lt;=0),"",(Q32-ABS(N($F32)))/$E32)</f>
        <v>5.19084967320262</v>
      </c>
      <c r="AI32" s="26" t="n">
        <f aca="false">IF(OR(R32="",$E32="",N($E32)&lt;=0),"",(R32-ABS(N($F32)))/$E32)</f>
        <v>8.45882352941177</v>
      </c>
      <c r="AJ32" s="26" t="str">
        <f aca="false">IF(OR(S32="",$E32="",N($E32)&lt;=0),"",(S32-ABS(N($F32)))/$E32)</f>
        <v/>
      </c>
      <c r="AK32" s="26" t="str">
        <f aca="false">IF(OR(T32="",$E32="",N($E32)&lt;=0),"",(T32-ABS(N($F32)))/$E32)</f>
        <v/>
      </c>
      <c r="AL32" s="26" t="str">
        <f aca="false">IF(OR(U32="",$E32="",N($E32)&lt;=0),"",(U32-ABS(N($F32)))/$E32)</f>
        <v/>
      </c>
      <c r="AM32" s="26" t="str">
        <f aca="false">IF(OR(V32="",$E32="",N($E32)&lt;=0),"",(V32-ABS(N($F32)))/$E32)</f>
        <v/>
      </c>
      <c r="AN32" s="26" t="n">
        <f aca="false">IF(OR(W32="",$E32="",N($E32)&lt;=0),"",(W32-ABS(N($F32)))/$E32)</f>
        <v>7.78562091503268</v>
      </c>
      <c r="AO32" s="26" t="str">
        <f aca="false">IF(OR(X32="",$E32="",N($E32)&lt;=0),"",(X32-ABS(N($F32)))/$E32)</f>
        <v/>
      </c>
      <c r="AP32" s="26" t="str">
        <f aca="false">IF(OR(Y32="",$E32="",N($E32)&lt;=0),"",(Y32-ABS(N($F32)))/$E32)</f>
        <v/>
      </c>
    </row>
    <row r="33" customFormat="false" ht="15" hidden="false" customHeight="true" outlineLevel="0" collapsed="false">
      <c r="A33" s="9" t="s">
        <v>137</v>
      </c>
      <c r="B33" s="11" t="s">
        <v>329</v>
      </c>
      <c r="C33" s="11" t="s">
        <v>330</v>
      </c>
      <c r="D33" s="21" t="n">
        <v>566.231</v>
      </c>
      <c r="E33" s="22" t="n">
        <v>1.401</v>
      </c>
      <c r="F33" s="22" t="n">
        <v>0.705</v>
      </c>
      <c r="G33" s="23" t="n">
        <v>890</v>
      </c>
      <c r="H33" s="11" t="s">
        <v>333</v>
      </c>
      <c r="I33" s="24" t="n">
        <f aca="false">MATCH(A33,'TEa input'!$A$6:$A$68,0)</f>
        <v>14</v>
      </c>
      <c r="J33" s="25" t="n">
        <f aca="false">IF(INDEX('TEa input'!$E$6:$E$68,$I33)="","",INDEX('TEa input'!$E$6:$E$68,$I33))</f>
        <v>8</v>
      </c>
      <c r="K33" s="25" t="n">
        <f aca="false">IF(INDEX('TEa input'!$G$6:$G$68,$I33)="","",INDEX('TEa input'!$G$6:$G$68,$I33))</f>
        <v>10</v>
      </c>
      <c r="L33" s="25" t="n">
        <f aca="false">IF(INDEX('TEa input'!$I$6:$I$68,$I33)="","",INDEX('TEa input'!$I$6:$I$68,$I33))</f>
        <v>7</v>
      </c>
      <c r="M33" s="25" t="str">
        <f aca="false">IF(INDEX('TEa input'!$K$6:$K$68,$I33)="","",INDEX('TEa input'!$K$6:$K$68,$I33))</f>
        <v/>
      </c>
      <c r="N33" s="25" t="n">
        <f aca="false">IF(INDEX('TEa input'!$M$6:$M$68,$I33)="","",INDEX('TEa input'!$M$6:$M$68,$I33))</f>
        <v>8</v>
      </c>
      <c r="O33" s="25" t="n">
        <f aca="false">IF(INDEX('TEa input'!$O$6:$O$68,$I33)="","",INDEX('TEa input'!$O$6:$O$68,$I33))</f>
        <v>12</v>
      </c>
      <c r="P33" s="25" t="n">
        <f aca="false">IF(INDEX('TEa input'!$Q$6:$Q$68,$I33)="","",INDEX('TEa input'!$Q$6:$Q$68,$I33))</f>
        <v>14</v>
      </c>
      <c r="Q33" s="25" t="n">
        <f aca="false">IF(INDEX('TEa input'!$R$6:$R$68,$I33)="","",INDEX('TEa input'!$R$6:$R$68,$I33))</f>
        <v>8</v>
      </c>
      <c r="R33" s="25" t="n">
        <f aca="false">IF(INDEX('TEa input'!$T$6:$T$68,$I33)="","",INDEX('TEa input'!$T$6:$T$68,$I33))</f>
        <v>13</v>
      </c>
      <c r="S33" s="25" t="str">
        <f aca="false">IF(INDEX('TEa input'!$Y$6:$Y$68,$I33)="","",INDEX('TEa input'!$Y$6:$Y$68,$I33))</f>
        <v/>
      </c>
      <c r="T33" s="25" t="str">
        <f aca="false">IF(INDEX('TEa input'!$Z$6:$Z$68,$I33)="","",INDEX('TEa input'!$Z$6:$Z$68,$I33))</f>
        <v/>
      </c>
      <c r="U33" s="25" t="str">
        <f aca="false">IF(INDEX('TEa input'!$AA$6:$AA$68,$I33)="","",INDEX('TEa input'!$AA$6:$AA$68,$I33))</f>
        <v/>
      </c>
      <c r="V33" s="25" t="str">
        <f aca="false">IF(INDEX('TEa input'!$AB$6:$AB$68,$I33)="","",INDEX('TEa input'!$AB$6:$AB$68,$I33))</f>
        <v/>
      </c>
      <c r="W33" s="25" t="n">
        <f aca="false">IF(INDEX('TEa input'!$AC$6:$AC$68,$I33)="","",INDEX('TEa input'!$AC$6:$AC$68,$I33))</f>
        <v>11.97</v>
      </c>
      <c r="X33" s="25" t="str">
        <f aca="false">IF(INDEX('TEa input'!$AD$6:$AD$68,$I33)="","",INDEX('TEa input'!$AD$6:$AD$68,$I33))</f>
        <v/>
      </c>
      <c r="Y33" s="25" t="str">
        <f aca="false">IF(INDEX('TEa input'!$AF$6:$AF$68,$I33)="","",INDEX('TEa input'!$AF$6:$AF$68,$I33))</f>
        <v/>
      </c>
      <c r="AA33" s="26" t="n">
        <f aca="false">IF(OR(J33="",$E33="",N($E33)&lt;=0),"",(J33-ABS(N($F33)))/$E33)</f>
        <v>5.20699500356888</v>
      </c>
      <c r="AB33" s="26" t="n">
        <f aca="false">IF(OR(K33="",$E33="",N($E33)&lt;=0),"",(K33-ABS(N($F33)))/$E33)</f>
        <v>6.63454675231977</v>
      </c>
      <c r="AC33" s="26" t="n">
        <f aca="false">IF(OR(L33="",$E33="",N($E33)&lt;=0),"",(L33-ABS(N($F33)))/$E33)</f>
        <v>4.49321912919343</v>
      </c>
      <c r="AD33" s="26" t="str">
        <f aca="false">IF(OR(M33="",$E33="",N($E33)&lt;=0),"",(M33-ABS(N($F33)))/$E33)</f>
        <v/>
      </c>
      <c r="AE33" s="26" t="n">
        <f aca="false">IF(OR(N33="",$E33="",N($E33)&lt;=0),"",(N33-ABS(N($F33)))/$E33)</f>
        <v>5.20699500356888</v>
      </c>
      <c r="AF33" s="26" t="n">
        <f aca="false">IF(OR(O33="",$E33="",N($E33)&lt;=0),"",(O33-ABS(N($F33)))/$E33)</f>
        <v>8.06209850107066</v>
      </c>
      <c r="AG33" s="26" t="n">
        <f aca="false">IF(OR(P33="",$E33="",N($E33)&lt;=0),"",(P33-ABS(N($F33)))/$E33)</f>
        <v>9.48965024982156</v>
      </c>
      <c r="AH33" s="26" t="n">
        <f aca="false">IF(OR(Q33="",$E33="",N($E33)&lt;=0),"",(Q33-ABS(N($F33)))/$E33)</f>
        <v>5.20699500356888</v>
      </c>
      <c r="AI33" s="26" t="n">
        <f aca="false">IF(OR(R33="",$E33="",N($E33)&lt;=0),"",(R33-ABS(N($F33)))/$E33)</f>
        <v>8.77587437544611</v>
      </c>
      <c r="AJ33" s="26" t="str">
        <f aca="false">IF(OR(S33="",$E33="",N($E33)&lt;=0),"",(S33-ABS(N($F33)))/$E33)</f>
        <v/>
      </c>
      <c r="AK33" s="26" t="str">
        <f aca="false">IF(OR(T33="",$E33="",N($E33)&lt;=0),"",(T33-ABS(N($F33)))/$E33)</f>
        <v/>
      </c>
      <c r="AL33" s="26" t="str">
        <f aca="false">IF(OR(U33="",$E33="",N($E33)&lt;=0),"",(U33-ABS(N($F33)))/$E33)</f>
        <v/>
      </c>
      <c r="AM33" s="26" t="str">
        <f aca="false">IF(OR(V33="",$E33="",N($E33)&lt;=0),"",(V33-ABS(N($F33)))/$E33)</f>
        <v/>
      </c>
      <c r="AN33" s="26" t="n">
        <f aca="false">IF(OR(W33="",$E33="",N($E33)&lt;=0),"",(W33-ABS(N($F33)))/$E33)</f>
        <v>8.0406852248394</v>
      </c>
      <c r="AO33" s="26" t="str">
        <f aca="false">IF(OR(X33="",$E33="",N($E33)&lt;=0),"",(X33-ABS(N($F33)))/$E33)</f>
        <v/>
      </c>
      <c r="AP33" s="26" t="str">
        <f aca="false">IF(OR(Y33="",$E33="",N($E33)&lt;=0),"",(Y33-ABS(N($F33)))/$E33)</f>
        <v/>
      </c>
    </row>
    <row r="34" customFormat="false" ht="15" hidden="false" customHeight="true" outlineLevel="0" collapsed="false">
      <c r="A34" s="9" t="s">
        <v>142</v>
      </c>
      <c r="B34" s="11" t="s">
        <v>326</v>
      </c>
      <c r="C34" s="11" t="s">
        <v>327</v>
      </c>
      <c r="D34" s="21" t="n">
        <v>47.2857</v>
      </c>
      <c r="E34" s="22" t="n">
        <v>2.038</v>
      </c>
      <c r="F34" s="22" t="n">
        <v>0.644</v>
      </c>
      <c r="G34" s="23" t="n">
        <v>1038</v>
      </c>
      <c r="H34" s="11" t="s">
        <v>333</v>
      </c>
      <c r="I34" s="24" t="n">
        <f aca="false">MATCH(A34,'TEa input'!$A$6:$A$68,0)</f>
        <v>15</v>
      </c>
      <c r="J34" s="25" t="n">
        <f aca="false">IF(INDEX('TEa input'!$E$6:$E$68,$I34)="","",INDEX('TEa input'!$E$6:$E$68,$I34))</f>
        <v>12</v>
      </c>
      <c r="K34" s="25" t="n">
        <f aca="false">IF(INDEX('TEa input'!$G$6:$G$68,$I34)="","",INDEX('TEa input'!$G$6:$G$68,$I34))</f>
        <v>15</v>
      </c>
      <c r="L34" s="25" t="n">
        <f aca="false">IF(INDEX('TEa input'!$I$6:$I$68,$I34)="","",INDEX('TEa input'!$I$6:$I$68,$I34))</f>
        <v>11.5</v>
      </c>
      <c r="M34" s="25" t="str">
        <f aca="false">IF(INDEX('TEa input'!$K$6:$K$68,$I34)="","",INDEX('TEa input'!$K$6:$K$68,$I34))</f>
        <v/>
      </c>
      <c r="N34" s="25" t="n">
        <f aca="false">IF(INDEX('TEa input'!$M$6:$M$68,$I34)="","",INDEX('TEa input'!$M$6:$M$68,$I34))</f>
        <v>12</v>
      </c>
      <c r="O34" s="25" t="n">
        <f aca="false">IF(INDEX('TEa input'!$O$6:$O$68,$I34)="","",INDEX('TEa input'!$O$6:$O$68,$I34))</f>
        <v>15</v>
      </c>
      <c r="P34" s="25" t="n">
        <f aca="false">IF(INDEX('TEa input'!$Q$6:$Q$68,$I34)="","",INDEX('TEa input'!$Q$6:$Q$68,$I34))</f>
        <v>15</v>
      </c>
      <c r="Q34" s="25" t="n">
        <f aca="false">IF(INDEX('TEa input'!$R$6:$R$68,$I34)="","",INDEX('TEa input'!$R$6:$R$68,$I34))</f>
        <v>11.3</v>
      </c>
      <c r="R34" s="25" t="n">
        <f aca="false">IF(INDEX('TEa input'!$T$6:$T$68,$I34)="","",INDEX('TEa input'!$T$6:$T$68,$I34))</f>
        <v>20</v>
      </c>
      <c r="S34" s="25" t="str">
        <f aca="false">IF(INDEX('TEa input'!$Y$6:$Y$68,$I34)="","",INDEX('TEa input'!$Y$6:$Y$68,$I34))</f>
        <v/>
      </c>
      <c r="T34" s="25" t="str">
        <f aca="false">IF(INDEX('TEa input'!$Z$6:$Z$68,$I34)="","",INDEX('TEa input'!$Z$6:$Z$68,$I34))</f>
        <v/>
      </c>
      <c r="U34" s="25" t="str">
        <f aca="false">IF(INDEX('TEa input'!$AA$6:$AA$68,$I34)="","",INDEX('TEa input'!$AA$6:$AA$68,$I34))</f>
        <v/>
      </c>
      <c r="V34" s="25" t="str">
        <f aca="false">IF(INDEX('TEa input'!$AB$6:$AB$68,$I34)="","",INDEX('TEa input'!$AB$6:$AB$68,$I34))</f>
        <v/>
      </c>
      <c r="W34" s="25" t="n">
        <f aca="false">IF(INDEX('TEa input'!$AC$6:$AC$68,$I34)="","",INDEX('TEa input'!$AC$6:$AC$68,$I34))</f>
        <v>16.69</v>
      </c>
      <c r="X34" s="25" t="str">
        <f aca="false">IF(INDEX('TEa input'!$AD$6:$AD$68,$I34)="","",INDEX('TEa input'!$AD$6:$AD$68,$I34))</f>
        <v/>
      </c>
      <c r="Y34" s="25" t="str">
        <f aca="false">IF(INDEX('TEa input'!$AF$6:$AF$68,$I34)="","",INDEX('TEa input'!$AF$6:$AF$68,$I34))</f>
        <v/>
      </c>
      <c r="AA34" s="26" t="n">
        <f aca="false">IF(OR(J34="",$E34="",N($E34)&lt;=0),"",(J34-ABS(N($F34)))/$E34)</f>
        <v>5.57212953876349</v>
      </c>
      <c r="AB34" s="26" t="n">
        <f aca="false">IF(OR(K34="",$E34="",N($E34)&lt;=0),"",(K34-ABS(N($F34)))/$E34)</f>
        <v>7.0441609421001</v>
      </c>
      <c r="AC34" s="26" t="n">
        <f aca="false">IF(OR(L34="",$E34="",N($E34)&lt;=0),"",(L34-ABS(N($F34)))/$E34)</f>
        <v>5.32679097154073</v>
      </c>
      <c r="AD34" s="26" t="str">
        <f aca="false">IF(OR(M34="",$E34="",N($E34)&lt;=0),"",(M34-ABS(N($F34)))/$E34)</f>
        <v/>
      </c>
      <c r="AE34" s="26" t="n">
        <f aca="false">IF(OR(N34="",$E34="",N($E34)&lt;=0),"",(N34-ABS(N($F34)))/$E34)</f>
        <v>5.57212953876349</v>
      </c>
      <c r="AF34" s="26" t="n">
        <f aca="false">IF(OR(O34="",$E34="",N($E34)&lt;=0),"",(O34-ABS(N($F34)))/$E34)</f>
        <v>7.0441609421001</v>
      </c>
      <c r="AG34" s="26" t="n">
        <f aca="false">IF(OR(P34="",$E34="",N($E34)&lt;=0),"",(P34-ABS(N($F34)))/$E34)</f>
        <v>7.0441609421001</v>
      </c>
      <c r="AH34" s="26" t="n">
        <f aca="false">IF(OR(Q34="",$E34="",N($E34)&lt;=0),"",(Q34-ABS(N($F34)))/$E34)</f>
        <v>5.22865554465162</v>
      </c>
      <c r="AI34" s="26" t="n">
        <f aca="false">IF(OR(R34="",$E34="",N($E34)&lt;=0),"",(R34-ABS(N($F34)))/$E34)</f>
        <v>9.49754661432777</v>
      </c>
      <c r="AJ34" s="26" t="str">
        <f aca="false">IF(OR(S34="",$E34="",N($E34)&lt;=0),"",(S34-ABS(N($F34)))/$E34)</f>
        <v/>
      </c>
      <c r="AK34" s="26" t="str">
        <f aca="false">IF(OR(T34="",$E34="",N($E34)&lt;=0),"",(T34-ABS(N($F34)))/$E34)</f>
        <v/>
      </c>
      <c r="AL34" s="26" t="str">
        <f aca="false">IF(OR(U34="",$E34="",N($E34)&lt;=0),"",(U34-ABS(N($F34)))/$E34)</f>
        <v/>
      </c>
      <c r="AM34" s="26" t="str">
        <f aca="false">IF(OR(V34="",$E34="",N($E34)&lt;=0),"",(V34-ABS(N($F34)))/$E34)</f>
        <v/>
      </c>
      <c r="AN34" s="26" t="n">
        <f aca="false">IF(OR(W34="",$E34="",N($E34)&lt;=0),"",(W34-ABS(N($F34)))/$E34)</f>
        <v>7.87340529931305</v>
      </c>
      <c r="AO34" s="26" t="str">
        <f aca="false">IF(OR(X34="",$E34="",N($E34)&lt;=0),"",(X34-ABS(N($F34)))/$E34)</f>
        <v/>
      </c>
      <c r="AP34" s="26" t="str">
        <f aca="false">IF(OR(Y34="",$E34="",N($E34)&lt;=0),"",(Y34-ABS(N($F34)))/$E34)</f>
        <v/>
      </c>
    </row>
    <row r="35" customFormat="false" ht="15" hidden="false" customHeight="true" outlineLevel="0" collapsed="false">
      <c r="A35" s="9" t="s">
        <v>142</v>
      </c>
      <c r="B35" s="11" t="s">
        <v>329</v>
      </c>
      <c r="C35" s="11" t="s">
        <v>330</v>
      </c>
      <c r="D35" s="21" t="n">
        <v>233.286</v>
      </c>
      <c r="E35" s="22" t="n">
        <v>1.922</v>
      </c>
      <c r="F35" s="22" t="n">
        <v>0.408</v>
      </c>
      <c r="G35" s="23" t="n">
        <v>1031</v>
      </c>
      <c r="H35" s="11" t="s">
        <v>333</v>
      </c>
      <c r="I35" s="24" t="n">
        <f aca="false">MATCH(A35,'TEa input'!$A$6:$A$68,0)</f>
        <v>15</v>
      </c>
      <c r="J35" s="25" t="n">
        <f aca="false">IF(INDEX('TEa input'!$E$6:$E$68,$I35)="","",INDEX('TEa input'!$E$6:$E$68,$I35))</f>
        <v>12</v>
      </c>
      <c r="K35" s="25" t="n">
        <f aca="false">IF(INDEX('TEa input'!$G$6:$G$68,$I35)="","",INDEX('TEa input'!$G$6:$G$68,$I35))</f>
        <v>15</v>
      </c>
      <c r="L35" s="25" t="n">
        <f aca="false">IF(INDEX('TEa input'!$I$6:$I$68,$I35)="","",INDEX('TEa input'!$I$6:$I$68,$I35))</f>
        <v>11.5</v>
      </c>
      <c r="M35" s="25" t="str">
        <f aca="false">IF(INDEX('TEa input'!$K$6:$K$68,$I35)="","",INDEX('TEa input'!$K$6:$K$68,$I35))</f>
        <v/>
      </c>
      <c r="N35" s="25" t="n">
        <f aca="false">IF(INDEX('TEa input'!$M$6:$M$68,$I35)="","",INDEX('TEa input'!$M$6:$M$68,$I35))</f>
        <v>12</v>
      </c>
      <c r="O35" s="25" t="n">
        <f aca="false">IF(INDEX('TEa input'!$O$6:$O$68,$I35)="","",INDEX('TEa input'!$O$6:$O$68,$I35))</f>
        <v>15</v>
      </c>
      <c r="P35" s="25" t="n">
        <f aca="false">IF(INDEX('TEa input'!$Q$6:$Q$68,$I35)="","",INDEX('TEa input'!$Q$6:$Q$68,$I35))</f>
        <v>15</v>
      </c>
      <c r="Q35" s="25" t="n">
        <f aca="false">IF(INDEX('TEa input'!$R$6:$R$68,$I35)="","",INDEX('TEa input'!$R$6:$R$68,$I35))</f>
        <v>11.3</v>
      </c>
      <c r="R35" s="25" t="n">
        <f aca="false">IF(INDEX('TEa input'!$T$6:$T$68,$I35)="","",INDEX('TEa input'!$T$6:$T$68,$I35))</f>
        <v>20</v>
      </c>
      <c r="S35" s="25" t="str">
        <f aca="false">IF(INDEX('TEa input'!$Y$6:$Y$68,$I35)="","",INDEX('TEa input'!$Y$6:$Y$68,$I35))</f>
        <v/>
      </c>
      <c r="T35" s="25" t="str">
        <f aca="false">IF(INDEX('TEa input'!$Z$6:$Z$68,$I35)="","",INDEX('TEa input'!$Z$6:$Z$68,$I35))</f>
        <v/>
      </c>
      <c r="U35" s="25" t="str">
        <f aca="false">IF(INDEX('TEa input'!$AA$6:$AA$68,$I35)="","",INDEX('TEa input'!$AA$6:$AA$68,$I35))</f>
        <v/>
      </c>
      <c r="V35" s="25" t="str">
        <f aca="false">IF(INDEX('TEa input'!$AB$6:$AB$68,$I35)="","",INDEX('TEa input'!$AB$6:$AB$68,$I35))</f>
        <v/>
      </c>
      <c r="W35" s="25" t="n">
        <f aca="false">IF(INDEX('TEa input'!$AC$6:$AC$68,$I35)="","",INDEX('TEa input'!$AC$6:$AC$68,$I35))</f>
        <v>16.69</v>
      </c>
      <c r="X35" s="25" t="str">
        <f aca="false">IF(INDEX('TEa input'!$AD$6:$AD$68,$I35)="","",INDEX('TEa input'!$AD$6:$AD$68,$I35))</f>
        <v/>
      </c>
      <c r="Y35" s="25" t="str">
        <f aca="false">IF(INDEX('TEa input'!$AF$6:$AF$68,$I35)="","",INDEX('TEa input'!$AF$6:$AF$68,$I35))</f>
        <v/>
      </c>
      <c r="AA35" s="26" t="n">
        <f aca="false">IF(OR(J35="",$E35="",N($E35)&lt;=0),"",(J35-ABS(N($F35)))/$E35)</f>
        <v>6.0312174817898</v>
      </c>
      <c r="AB35" s="26" t="n">
        <f aca="false">IF(OR(K35="",$E35="",N($E35)&lt;=0),"",(K35-ABS(N($F35)))/$E35)</f>
        <v>7.59209157127992</v>
      </c>
      <c r="AC35" s="26" t="n">
        <f aca="false">IF(OR(L35="",$E35="",N($E35)&lt;=0),"",(L35-ABS(N($F35)))/$E35)</f>
        <v>5.77107180020812</v>
      </c>
      <c r="AD35" s="26" t="str">
        <f aca="false">IF(OR(M35="",$E35="",N($E35)&lt;=0),"",(M35-ABS(N($F35)))/$E35)</f>
        <v/>
      </c>
      <c r="AE35" s="26" t="n">
        <f aca="false">IF(OR(N35="",$E35="",N($E35)&lt;=0),"",(N35-ABS(N($F35)))/$E35)</f>
        <v>6.0312174817898</v>
      </c>
      <c r="AF35" s="26" t="n">
        <f aca="false">IF(OR(O35="",$E35="",N($E35)&lt;=0),"",(O35-ABS(N($F35)))/$E35)</f>
        <v>7.59209157127992</v>
      </c>
      <c r="AG35" s="26" t="n">
        <f aca="false">IF(OR(P35="",$E35="",N($E35)&lt;=0),"",(P35-ABS(N($F35)))/$E35)</f>
        <v>7.59209157127992</v>
      </c>
      <c r="AH35" s="26" t="n">
        <f aca="false">IF(OR(Q35="",$E35="",N($E35)&lt;=0),"",(Q35-ABS(N($F35)))/$E35)</f>
        <v>5.66701352757544</v>
      </c>
      <c r="AI35" s="26" t="n">
        <f aca="false">IF(OR(R35="",$E35="",N($E35)&lt;=0),"",(R35-ABS(N($F35)))/$E35)</f>
        <v>10.1935483870968</v>
      </c>
      <c r="AJ35" s="26" t="str">
        <f aca="false">IF(OR(S35="",$E35="",N($E35)&lt;=0),"",(S35-ABS(N($F35)))/$E35)</f>
        <v/>
      </c>
      <c r="AK35" s="26" t="str">
        <f aca="false">IF(OR(T35="",$E35="",N($E35)&lt;=0),"",(T35-ABS(N($F35)))/$E35)</f>
        <v/>
      </c>
      <c r="AL35" s="26" t="str">
        <f aca="false">IF(OR(U35="",$E35="",N($E35)&lt;=0),"",(U35-ABS(N($F35)))/$E35)</f>
        <v/>
      </c>
      <c r="AM35" s="26" t="str">
        <f aca="false">IF(OR(V35="",$E35="",N($E35)&lt;=0),"",(V35-ABS(N($F35)))/$E35)</f>
        <v/>
      </c>
      <c r="AN35" s="26" t="n">
        <f aca="false">IF(OR(W35="",$E35="",N($E35)&lt;=0),"",(W35-ABS(N($F35)))/$E35)</f>
        <v>8.47138397502602</v>
      </c>
      <c r="AO35" s="26" t="str">
        <f aca="false">IF(OR(X35="",$E35="",N($E35)&lt;=0),"",(X35-ABS(N($F35)))/$E35)</f>
        <v/>
      </c>
      <c r="AP35" s="26" t="str">
        <f aca="false">IF(OR(Y35="",$E35="",N($E35)&lt;=0),"",(Y35-ABS(N($F35)))/$E35)</f>
        <v/>
      </c>
    </row>
    <row r="36" customFormat="false" ht="15" hidden="false" customHeight="true" outlineLevel="0" collapsed="false">
      <c r="A36" s="9" t="s">
        <v>143</v>
      </c>
      <c r="B36" s="11" t="s">
        <v>326</v>
      </c>
      <c r="C36" s="11" t="s">
        <v>327</v>
      </c>
      <c r="D36" s="21" t="n">
        <v>90.0234</v>
      </c>
      <c r="E36" s="22" t="n">
        <v>2.387</v>
      </c>
      <c r="F36" s="22" t="n">
        <v>0.193</v>
      </c>
      <c r="G36" s="23" t="n">
        <v>993</v>
      </c>
      <c r="H36" s="11" t="s">
        <v>340</v>
      </c>
      <c r="I36" s="24" t="n">
        <f aca="false">MATCH(A36,'TEa input'!$A$6:$A$68,0)</f>
        <v>16</v>
      </c>
      <c r="J36" s="25" t="n">
        <f aca="false">IF(INDEX('TEa input'!$E$6:$E$68,$I36)="","",INDEX('TEa input'!$E$6:$E$68,$I36))</f>
        <v>12</v>
      </c>
      <c r="K36" s="25" t="n">
        <f aca="false">IF(INDEX('TEa input'!$G$6:$G$68,$I36)="","",INDEX('TEa input'!$G$6:$G$68,$I36))</f>
        <v>20</v>
      </c>
      <c r="L36" s="25" t="n">
        <f aca="false">IF(INDEX('TEa input'!$I$6:$I$68,$I36)="","",INDEX('TEa input'!$I$6:$I$68,$I36))</f>
        <v>11</v>
      </c>
      <c r="M36" s="25" t="str">
        <f aca="false">IF(INDEX('TEa input'!$K$6:$K$68,$I36)="","",INDEX('TEa input'!$K$6:$K$68,$I36))</f>
        <v/>
      </c>
      <c r="N36" s="25" t="n">
        <f aca="false">IF(INDEX('TEa input'!$M$6:$M$68,$I36)="","",INDEX('TEa input'!$M$6:$M$68,$I36))</f>
        <v>12</v>
      </c>
      <c r="O36" s="25" t="n">
        <f aca="false">IF(INDEX('TEa input'!$O$6:$O$68,$I36)="","",INDEX('TEa input'!$O$6:$O$68,$I36))</f>
        <v>18</v>
      </c>
      <c r="P36" s="25" t="n">
        <f aca="false">IF(INDEX('TEa input'!$Q$6:$Q$68,$I36)="","",INDEX('TEa input'!$Q$6:$Q$68,$I36))</f>
        <v>24</v>
      </c>
      <c r="Q36" s="25" t="str">
        <f aca="false">IF(INDEX('TEa input'!$R$6:$R$68,$I36)="","",INDEX('TEa input'!$R$6:$R$68,$I36))</f>
        <v/>
      </c>
      <c r="R36" s="25" t="n">
        <f aca="false">IF(INDEX('TEa input'!$T$6:$T$68,$I36)="","",INDEX('TEa input'!$T$6:$T$68,$I36))</f>
        <v>30</v>
      </c>
      <c r="S36" s="25" t="str">
        <f aca="false">IF(INDEX('TEa input'!$Y$6:$Y$68,$I36)="","",INDEX('TEa input'!$Y$6:$Y$68,$I36))</f>
        <v/>
      </c>
      <c r="T36" s="25" t="str">
        <f aca="false">IF(INDEX('TEa input'!$Z$6:$Z$68,$I36)="","",INDEX('TEa input'!$Z$6:$Z$68,$I36))</f>
        <v/>
      </c>
      <c r="U36" s="25" t="str">
        <f aca="false">IF(INDEX('TEa input'!$AA$6:$AA$68,$I36)="","",INDEX('TEa input'!$AA$6:$AA$68,$I36))</f>
        <v/>
      </c>
      <c r="V36" s="25" t="str">
        <f aca="false">IF(INDEX('TEa input'!$AB$6:$AB$68,$I36)="","",INDEX('TEa input'!$AB$6:$AB$68,$I36))</f>
        <v/>
      </c>
      <c r="W36" s="25" t="n">
        <f aca="false">IF(INDEX('TEa input'!$AC$6:$AC$68,$I36)="","",INDEX('TEa input'!$AC$6:$AC$68,$I36))</f>
        <v>12.04</v>
      </c>
      <c r="X36" s="25" t="str">
        <f aca="false">IF(INDEX('TEa input'!$AD$6:$AD$68,$I36)="","",INDEX('TEa input'!$AD$6:$AD$68,$I36))</f>
        <v/>
      </c>
      <c r="Y36" s="25" t="str">
        <f aca="false">IF(INDEX('TEa input'!$AF$6:$AF$68,$I36)="","",INDEX('TEa input'!$AF$6:$AF$68,$I36))</f>
        <v/>
      </c>
      <c r="AA36" s="26" t="n">
        <f aca="false">IF(OR(J36="",$E36="",N($E36)&lt;=0),"",(J36-ABS(N($F36)))/$E36)</f>
        <v>4.94637620444072</v>
      </c>
      <c r="AB36" s="26" t="n">
        <f aca="false">IF(OR(K36="",$E36="",N($E36)&lt;=0),"",(K36-ABS(N($F36)))/$E36)</f>
        <v>8.29786342689569</v>
      </c>
      <c r="AC36" s="26" t="n">
        <f aca="false">IF(OR(L36="",$E36="",N($E36)&lt;=0),"",(L36-ABS(N($F36)))/$E36)</f>
        <v>4.52744030163385</v>
      </c>
      <c r="AD36" s="26" t="str">
        <f aca="false">IF(OR(M36="",$E36="",N($E36)&lt;=0),"",(M36-ABS(N($F36)))/$E36)</f>
        <v/>
      </c>
      <c r="AE36" s="26" t="n">
        <f aca="false">IF(OR(N36="",$E36="",N($E36)&lt;=0),"",(N36-ABS(N($F36)))/$E36)</f>
        <v>4.94637620444072</v>
      </c>
      <c r="AF36" s="26" t="n">
        <f aca="false">IF(OR(O36="",$E36="",N($E36)&lt;=0),"",(O36-ABS(N($F36)))/$E36)</f>
        <v>7.45999162128194</v>
      </c>
      <c r="AG36" s="26" t="n">
        <f aca="false">IF(OR(P36="",$E36="",N($E36)&lt;=0),"",(P36-ABS(N($F36)))/$E36)</f>
        <v>9.97360703812317</v>
      </c>
      <c r="AH36" s="26" t="str">
        <f aca="false">IF(OR(Q36="",$E36="",N($E36)&lt;=0),"",(Q36-ABS(N($F36)))/$E36)</f>
        <v/>
      </c>
      <c r="AI36" s="26" t="n">
        <f aca="false">IF(OR(R36="",$E36="",N($E36)&lt;=0),"",(R36-ABS(N($F36)))/$E36)</f>
        <v>12.4872224549644</v>
      </c>
      <c r="AJ36" s="26" t="str">
        <f aca="false">IF(OR(S36="",$E36="",N($E36)&lt;=0),"",(S36-ABS(N($F36)))/$E36)</f>
        <v/>
      </c>
      <c r="AK36" s="26" t="str">
        <f aca="false">IF(OR(T36="",$E36="",N($E36)&lt;=0),"",(T36-ABS(N($F36)))/$E36)</f>
        <v/>
      </c>
      <c r="AL36" s="26" t="str">
        <f aca="false">IF(OR(U36="",$E36="",N($E36)&lt;=0),"",(U36-ABS(N($F36)))/$E36)</f>
        <v/>
      </c>
      <c r="AM36" s="26" t="str">
        <f aca="false">IF(OR(V36="",$E36="",N($E36)&lt;=0),"",(V36-ABS(N($F36)))/$E36)</f>
        <v/>
      </c>
      <c r="AN36" s="26" t="n">
        <f aca="false">IF(OR(W36="",$E36="",N($E36)&lt;=0),"",(W36-ABS(N($F36)))/$E36)</f>
        <v>4.963133640553</v>
      </c>
      <c r="AO36" s="26" t="str">
        <f aca="false">IF(OR(X36="",$E36="",N($E36)&lt;=0),"",(X36-ABS(N($F36)))/$E36)</f>
        <v/>
      </c>
      <c r="AP36" s="26" t="str">
        <f aca="false">IF(OR(Y36="",$E36="",N($E36)&lt;=0),"",(Y36-ABS(N($F36)))/$E36)</f>
        <v/>
      </c>
    </row>
    <row r="37" customFormat="false" ht="15" hidden="false" customHeight="true" outlineLevel="0" collapsed="false">
      <c r="A37" s="9" t="s">
        <v>143</v>
      </c>
      <c r="B37" s="11" t="s">
        <v>329</v>
      </c>
      <c r="C37" s="11" t="s">
        <v>330</v>
      </c>
      <c r="D37" s="21" t="n">
        <v>275.889</v>
      </c>
      <c r="E37" s="22" t="n">
        <v>2.014</v>
      </c>
      <c r="F37" s="22" t="n">
        <v>0.304</v>
      </c>
      <c r="G37" s="23" t="n">
        <v>996</v>
      </c>
      <c r="H37" s="11" t="s">
        <v>340</v>
      </c>
      <c r="I37" s="24" t="n">
        <f aca="false">MATCH(A37,'TEa input'!$A$6:$A$68,0)</f>
        <v>16</v>
      </c>
      <c r="J37" s="25" t="n">
        <f aca="false">IF(INDEX('TEa input'!$E$6:$E$68,$I37)="","",INDEX('TEa input'!$E$6:$E$68,$I37))</f>
        <v>12</v>
      </c>
      <c r="K37" s="25" t="n">
        <f aca="false">IF(INDEX('TEa input'!$G$6:$G$68,$I37)="","",INDEX('TEa input'!$G$6:$G$68,$I37))</f>
        <v>20</v>
      </c>
      <c r="L37" s="25" t="n">
        <f aca="false">IF(INDEX('TEa input'!$I$6:$I$68,$I37)="","",INDEX('TEa input'!$I$6:$I$68,$I37))</f>
        <v>11</v>
      </c>
      <c r="M37" s="25" t="str">
        <f aca="false">IF(INDEX('TEa input'!$K$6:$K$68,$I37)="","",INDEX('TEa input'!$K$6:$K$68,$I37))</f>
        <v/>
      </c>
      <c r="N37" s="25" t="n">
        <f aca="false">IF(INDEX('TEa input'!$M$6:$M$68,$I37)="","",INDEX('TEa input'!$M$6:$M$68,$I37))</f>
        <v>12</v>
      </c>
      <c r="O37" s="25" t="n">
        <f aca="false">IF(INDEX('TEa input'!$O$6:$O$68,$I37)="","",INDEX('TEa input'!$O$6:$O$68,$I37))</f>
        <v>18</v>
      </c>
      <c r="P37" s="25" t="n">
        <f aca="false">IF(INDEX('TEa input'!$Q$6:$Q$68,$I37)="","",INDEX('TEa input'!$Q$6:$Q$68,$I37))</f>
        <v>24</v>
      </c>
      <c r="Q37" s="25" t="str">
        <f aca="false">IF(INDEX('TEa input'!$R$6:$R$68,$I37)="","",INDEX('TEa input'!$R$6:$R$68,$I37))</f>
        <v/>
      </c>
      <c r="R37" s="25" t="n">
        <f aca="false">IF(INDEX('TEa input'!$T$6:$T$68,$I37)="","",INDEX('TEa input'!$T$6:$T$68,$I37))</f>
        <v>30</v>
      </c>
      <c r="S37" s="25" t="str">
        <f aca="false">IF(INDEX('TEa input'!$Y$6:$Y$68,$I37)="","",INDEX('TEa input'!$Y$6:$Y$68,$I37))</f>
        <v/>
      </c>
      <c r="T37" s="25" t="str">
        <f aca="false">IF(INDEX('TEa input'!$Z$6:$Z$68,$I37)="","",INDEX('TEa input'!$Z$6:$Z$68,$I37))</f>
        <v/>
      </c>
      <c r="U37" s="25" t="str">
        <f aca="false">IF(INDEX('TEa input'!$AA$6:$AA$68,$I37)="","",INDEX('TEa input'!$AA$6:$AA$68,$I37))</f>
        <v/>
      </c>
      <c r="V37" s="25" t="str">
        <f aca="false">IF(INDEX('TEa input'!$AB$6:$AB$68,$I37)="","",INDEX('TEa input'!$AB$6:$AB$68,$I37))</f>
        <v/>
      </c>
      <c r="W37" s="25" t="n">
        <f aca="false">IF(INDEX('TEa input'!$AC$6:$AC$68,$I37)="","",INDEX('TEa input'!$AC$6:$AC$68,$I37))</f>
        <v>12.04</v>
      </c>
      <c r="X37" s="25" t="str">
        <f aca="false">IF(INDEX('TEa input'!$AD$6:$AD$68,$I37)="","",INDEX('TEa input'!$AD$6:$AD$68,$I37))</f>
        <v/>
      </c>
      <c r="Y37" s="25" t="str">
        <f aca="false">IF(INDEX('TEa input'!$AF$6:$AF$68,$I37)="","",INDEX('TEa input'!$AF$6:$AF$68,$I37))</f>
        <v/>
      </c>
      <c r="AA37" s="26" t="n">
        <f aca="false">IF(OR(J37="",$E37="",N($E37)&lt;=0),"",(J37-ABS(N($F37)))/$E37)</f>
        <v>5.80734856007944</v>
      </c>
      <c r="AB37" s="26" t="n">
        <f aca="false">IF(OR(K37="",$E37="",N($E37)&lt;=0),"",(K37-ABS(N($F37)))/$E37)</f>
        <v>9.77954319761668</v>
      </c>
      <c r="AC37" s="26" t="n">
        <f aca="false">IF(OR(L37="",$E37="",N($E37)&lt;=0),"",(L37-ABS(N($F37)))/$E37)</f>
        <v>5.31082423038729</v>
      </c>
      <c r="AD37" s="26" t="str">
        <f aca="false">IF(OR(M37="",$E37="",N($E37)&lt;=0),"",(M37-ABS(N($F37)))/$E37)</f>
        <v/>
      </c>
      <c r="AE37" s="26" t="n">
        <f aca="false">IF(OR(N37="",$E37="",N($E37)&lt;=0),"",(N37-ABS(N($F37)))/$E37)</f>
        <v>5.80734856007944</v>
      </c>
      <c r="AF37" s="26" t="n">
        <f aca="false">IF(OR(O37="",$E37="",N($E37)&lt;=0),"",(O37-ABS(N($F37)))/$E37)</f>
        <v>8.78649453823238</v>
      </c>
      <c r="AG37" s="26" t="n">
        <f aca="false">IF(OR(P37="",$E37="",N($E37)&lt;=0),"",(P37-ABS(N($F37)))/$E37)</f>
        <v>11.7656405163853</v>
      </c>
      <c r="AH37" s="26" t="str">
        <f aca="false">IF(OR(Q37="",$E37="",N($E37)&lt;=0),"",(Q37-ABS(N($F37)))/$E37)</f>
        <v/>
      </c>
      <c r="AI37" s="26" t="n">
        <f aca="false">IF(OR(R37="",$E37="",N($E37)&lt;=0),"",(R37-ABS(N($F37)))/$E37)</f>
        <v>14.7447864945382</v>
      </c>
      <c r="AJ37" s="26" t="str">
        <f aca="false">IF(OR(S37="",$E37="",N($E37)&lt;=0),"",(S37-ABS(N($F37)))/$E37)</f>
        <v/>
      </c>
      <c r="AK37" s="26" t="str">
        <f aca="false">IF(OR(T37="",$E37="",N($E37)&lt;=0),"",(T37-ABS(N($F37)))/$E37)</f>
        <v/>
      </c>
      <c r="AL37" s="26" t="str">
        <f aca="false">IF(OR(U37="",$E37="",N($E37)&lt;=0),"",(U37-ABS(N($F37)))/$E37)</f>
        <v/>
      </c>
      <c r="AM37" s="26" t="str">
        <f aca="false">IF(OR(V37="",$E37="",N($E37)&lt;=0),"",(V37-ABS(N($F37)))/$E37)</f>
        <v/>
      </c>
      <c r="AN37" s="26" t="n">
        <f aca="false">IF(OR(W37="",$E37="",N($E37)&lt;=0),"",(W37-ABS(N($F37)))/$E37)</f>
        <v>5.82720953326713</v>
      </c>
      <c r="AO37" s="26" t="str">
        <f aca="false">IF(OR(X37="",$E37="",N($E37)&lt;=0),"",(X37-ABS(N($F37)))/$E37)</f>
        <v/>
      </c>
      <c r="AP37" s="26" t="str">
        <f aca="false">IF(OR(Y37="",$E37="",N($E37)&lt;=0),"",(Y37-ABS(N($F37)))/$E37)</f>
        <v/>
      </c>
    </row>
    <row r="38" customFormat="false" ht="15" hidden="false" customHeight="true" outlineLevel="0" collapsed="false">
      <c r="A38" s="9" t="s">
        <v>148</v>
      </c>
      <c r="B38" s="11" t="s">
        <v>326</v>
      </c>
      <c r="C38" s="11" t="s">
        <v>327</v>
      </c>
      <c r="D38" s="21" t="n">
        <v>42.9146</v>
      </c>
      <c r="E38" s="22" t="n">
        <v>2.407</v>
      </c>
      <c r="F38" s="22" t="n">
        <v>0.217</v>
      </c>
      <c r="G38" s="23" t="n">
        <v>1056</v>
      </c>
      <c r="H38" s="11" t="s">
        <v>340</v>
      </c>
      <c r="I38" s="24" t="n">
        <f aca="false">MATCH(A38,'TEa input'!$A$6:$A$68,0)</f>
        <v>17</v>
      </c>
      <c r="J38" s="25" t="n">
        <f aca="false">IF(INDEX('TEa input'!$E$6:$E$68,$I38)="","",INDEX('TEa input'!$E$6:$E$68,$I38))</f>
        <v>12</v>
      </c>
      <c r="K38" s="25" t="n">
        <f aca="false">IF(INDEX('TEa input'!$G$6:$G$68,$I38)="","",INDEX('TEa input'!$G$6:$G$68,$I38))</f>
        <v>15</v>
      </c>
      <c r="L38" s="25" t="n">
        <f aca="false">IF(INDEX('TEa input'!$I$6:$I$68,$I38)="","",INDEX('TEa input'!$I$6:$I$68,$I38))</f>
        <v>11.5</v>
      </c>
      <c r="M38" s="25" t="str">
        <f aca="false">IF(INDEX('TEa input'!$K$6:$K$68,$I38)="","",INDEX('TEa input'!$K$6:$K$68,$I38))</f>
        <v/>
      </c>
      <c r="N38" s="25" t="n">
        <f aca="false">IF(INDEX('TEa input'!$M$6:$M$68,$I38)="","",INDEX('TEa input'!$M$6:$M$68,$I38))</f>
        <v>12</v>
      </c>
      <c r="O38" s="25" t="n">
        <f aca="false">IF(INDEX('TEa input'!$O$6:$O$68,$I38)="","",INDEX('TEa input'!$O$6:$O$68,$I38))</f>
        <v>11</v>
      </c>
      <c r="P38" s="25" t="n">
        <f aca="false">IF(INDEX('TEa input'!$Q$6:$Q$68,$I38)="","",INDEX('TEa input'!$Q$6:$Q$68,$I38))</f>
        <v>15</v>
      </c>
      <c r="Q38" s="25" t="n">
        <f aca="false">IF(INDEX('TEa input'!$R$6:$R$68,$I38)="","",INDEX('TEa input'!$R$6:$R$68,$I38))</f>
        <v>14.2</v>
      </c>
      <c r="R38" s="25" t="n">
        <f aca="false">IF(INDEX('TEa input'!$T$6:$T$68,$I38)="","",INDEX('TEa input'!$T$6:$T$68,$I38))</f>
        <v>20</v>
      </c>
      <c r="S38" s="25" t="str">
        <f aca="false">IF(INDEX('TEa input'!$Y$6:$Y$68,$I38)="","",INDEX('TEa input'!$Y$6:$Y$68,$I38))</f>
        <v/>
      </c>
      <c r="T38" s="25" t="str">
        <f aca="false">IF(INDEX('TEa input'!$Z$6:$Z$68,$I38)="","",INDEX('TEa input'!$Z$6:$Z$68,$I38))</f>
        <v/>
      </c>
      <c r="U38" s="25" t="str">
        <f aca="false">IF(INDEX('TEa input'!$AA$6:$AA$68,$I38)="","",INDEX('TEa input'!$AA$6:$AA$68,$I38))</f>
        <v/>
      </c>
      <c r="V38" s="25" t="str">
        <f aca="false">IF(INDEX('TEa input'!$AB$6:$AB$68,$I38)="","",INDEX('TEa input'!$AB$6:$AB$68,$I38))</f>
        <v/>
      </c>
      <c r="W38" s="25" t="n">
        <f aca="false">IF(INDEX('TEa input'!$AC$6:$AC$68,$I38)="","",INDEX('TEa input'!$AC$6:$AC$68,$I38))</f>
        <v>22.11</v>
      </c>
      <c r="X38" s="25" t="str">
        <f aca="false">IF(INDEX('TEa input'!$AD$6:$AD$68,$I38)="","",INDEX('TEa input'!$AD$6:$AD$68,$I38))</f>
        <v/>
      </c>
      <c r="Y38" s="25" t="str">
        <f aca="false">IF(INDEX('TEa input'!$AF$6:$AF$68,$I38)="","",INDEX('TEa input'!$AF$6:$AF$68,$I38))</f>
        <v/>
      </c>
      <c r="AA38" s="26" t="n">
        <f aca="false">IF(OR(J38="",$E38="",N($E38)&lt;=0),"",(J38-ABS(N($F38)))/$E38)</f>
        <v>4.89530535936851</v>
      </c>
      <c r="AB38" s="26" t="n">
        <f aca="false">IF(OR(K38="",$E38="",N($E38)&lt;=0),"",(K38-ABS(N($F38)))/$E38)</f>
        <v>6.14167012879103</v>
      </c>
      <c r="AC38" s="26" t="n">
        <f aca="false">IF(OR(L38="",$E38="",N($E38)&lt;=0),"",(L38-ABS(N($F38)))/$E38)</f>
        <v>4.68757789779809</v>
      </c>
      <c r="AD38" s="26" t="str">
        <f aca="false">IF(OR(M38="",$E38="",N($E38)&lt;=0),"",(M38-ABS(N($F38)))/$E38)</f>
        <v/>
      </c>
      <c r="AE38" s="26" t="n">
        <f aca="false">IF(OR(N38="",$E38="",N($E38)&lt;=0),"",(N38-ABS(N($F38)))/$E38)</f>
        <v>4.89530535936851</v>
      </c>
      <c r="AF38" s="26" t="n">
        <f aca="false">IF(OR(O38="",$E38="",N($E38)&lt;=0),"",(O38-ABS(N($F38)))/$E38)</f>
        <v>4.47985043622767</v>
      </c>
      <c r="AG38" s="26" t="n">
        <f aca="false">IF(OR(P38="",$E38="",N($E38)&lt;=0),"",(P38-ABS(N($F38)))/$E38)</f>
        <v>6.14167012879103</v>
      </c>
      <c r="AH38" s="26" t="n">
        <f aca="false">IF(OR(Q38="",$E38="",N($E38)&lt;=0),"",(Q38-ABS(N($F38)))/$E38)</f>
        <v>5.80930619027835</v>
      </c>
      <c r="AI38" s="26" t="n">
        <f aca="false">IF(OR(R38="",$E38="",N($E38)&lt;=0),"",(R38-ABS(N($F38)))/$E38)</f>
        <v>8.21894474449522</v>
      </c>
      <c r="AJ38" s="26" t="str">
        <f aca="false">IF(OR(S38="",$E38="",N($E38)&lt;=0),"",(S38-ABS(N($F38)))/$E38)</f>
        <v/>
      </c>
      <c r="AK38" s="26" t="str">
        <f aca="false">IF(OR(T38="",$E38="",N($E38)&lt;=0),"",(T38-ABS(N($F38)))/$E38)</f>
        <v/>
      </c>
      <c r="AL38" s="26" t="str">
        <f aca="false">IF(OR(U38="",$E38="",N($E38)&lt;=0),"",(U38-ABS(N($F38)))/$E38)</f>
        <v/>
      </c>
      <c r="AM38" s="26" t="str">
        <f aca="false">IF(OR(V38="",$E38="",N($E38)&lt;=0),"",(V38-ABS(N($F38)))/$E38)</f>
        <v/>
      </c>
      <c r="AN38" s="26" t="n">
        <f aca="false">IF(OR(W38="",$E38="",N($E38)&lt;=0),"",(W38-ABS(N($F38)))/$E38)</f>
        <v>9.09555463232239</v>
      </c>
      <c r="AO38" s="26" t="str">
        <f aca="false">IF(OR(X38="",$E38="",N($E38)&lt;=0),"",(X38-ABS(N($F38)))/$E38)</f>
        <v/>
      </c>
      <c r="AP38" s="26" t="str">
        <f aca="false">IF(OR(Y38="",$E38="",N($E38)&lt;=0),"",(Y38-ABS(N($F38)))/$E38)</f>
        <v/>
      </c>
    </row>
    <row r="39" customFormat="false" ht="15" hidden="false" customHeight="true" outlineLevel="0" collapsed="false">
      <c r="A39" s="9" t="s">
        <v>148</v>
      </c>
      <c r="B39" s="11" t="s">
        <v>329</v>
      </c>
      <c r="C39" s="11" t="s">
        <v>330</v>
      </c>
      <c r="D39" s="21" t="n">
        <v>176.17</v>
      </c>
      <c r="E39" s="22" t="n">
        <v>1.741</v>
      </c>
      <c r="F39" s="22" t="n">
        <v>0.294</v>
      </c>
      <c r="G39" s="23" t="n">
        <v>1047</v>
      </c>
      <c r="H39" s="11" t="s">
        <v>332</v>
      </c>
      <c r="I39" s="24" t="n">
        <f aca="false">MATCH(A39,'TEa input'!$A$6:$A$68,0)</f>
        <v>17</v>
      </c>
      <c r="J39" s="25" t="n">
        <f aca="false">IF(INDEX('TEa input'!$E$6:$E$68,$I39)="","",INDEX('TEa input'!$E$6:$E$68,$I39))</f>
        <v>12</v>
      </c>
      <c r="K39" s="25" t="n">
        <f aca="false">IF(INDEX('TEa input'!$G$6:$G$68,$I39)="","",INDEX('TEa input'!$G$6:$G$68,$I39))</f>
        <v>15</v>
      </c>
      <c r="L39" s="25" t="n">
        <f aca="false">IF(INDEX('TEa input'!$I$6:$I$68,$I39)="","",INDEX('TEa input'!$I$6:$I$68,$I39))</f>
        <v>11.5</v>
      </c>
      <c r="M39" s="25" t="str">
        <f aca="false">IF(INDEX('TEa input'!$K$6:$K$68,$I39)="","",INDEX('TEa input'!$K$6:$K$68,$I39))</f>
        <v/>
      </c>
      <c r="N39" s="25" t="n">
        <f aca="false">IF(INDEX('TEa input'!$M$6:$M$68,$I39)="","",INDEX('TEa input'!$M$6:$M$68,$I39))</f>
        <v>12</v>
      </c>
      <c r="O39" s="25" t="n">
        <f aca="false">IF(INDEX('TEa input'!$O$6:$O$68,$I39)="","",INDEX('TEa input'!$O$6:$O$68,$I39))</f>
        <v>11</v>
      </c>
      <c r="P39" s="25" t="n">
        <f aca="false">IF(INDEX('TEa input'!$Q$6:$Q$68,$I39)="","",INDEX('TEa input'!$Q$6:$Q$68,$I39))</f>
        <v>15</v>
      </c>
      <c r="Q39" s="25" t="n">
        <f aca="false">IF(INDEX('TEa input'!$R$6:$R$68,$I39)="","",INDEX('TEa input'!$R$6:$R$68,$I39))</f>
        <v>14.2</v>
      </c>
      <c r="R39" s="25" t="n">
        <f aca="false">IF(INDEX('TEa input'!$T$6:$T$68,$I39)="","",INDEX('TEa input'!$T$6:$T$68,$I39))</f>
        <v>20</v>
      </c>
      <c r="S39" s="25" t="str">
        <f aca="false">IF(INDEX('TEa input'!$Y$6:$Y$68,$I39)="","",INDEX('TEa input'!$Y$6:$Y$68,$I39))</f>
        <v/>
      </c>
      <c r="T39" s="25" t="str">
        <f aca="false">IF(INDEX('TEa input'!$Z$6:$Z$68,$I39)="","",INDEX('TEa input'!$Z$6:$Z$68,$I39))</f>
        <v/>
      </c>
      <c r="U39" s="25" t="str">
        <f aca="false">IF(INDEX('TEa input'!$AA$6:$AA$68,$I39)="","",INDEX('TEa input'!$AA$6:$AA$68,$I39))</f>
        <v/>
      </c>
      <c r="V39" s="25" t="str">
        <f aca="false">IF(INDEX('TEa input'!$AB$6:$AB$68,$I39)="","",INDEX('TEa input'!$AB$6:$AB$68,$I39))</f>
        <v/>
      </c>
      <c r="W39" s="25" t="n">
        <f aca="false">IF(INDEX('TEa input'!$AC$6:$AC$68,$I39)="","",INDEX('TEa input'!$AC$6:$AC$68,$I39))</f>
        <v>22.11</v>
      </c>
      <c r="X39" s="25" t="str">
        <f aca="false">IF(INDEX('TEa input'!$AD$6:$AD$68,$I39)="","",INDEX('TEa input'!$AD$6:$AD$68,$I39))</f>
        <v/>
      </c>
      <c r="Y39" s="25" t="str">
        <f aca="false">IF(INDEX('TEa input'!$AF$6:$AF$68,$I39)="","",INDEX('TEa input'!$AF$6:$AF$68,$I39))</f>
        <v/>
      </c>
      <c r="AA39" s="26" t="n">
        <f aca="false">IF(OR(J39="",$E39="",N($E39)&lt;=0),"",(J39-ABS(N($F39)))/$E39)</f>
        <v>6.72372199885123</v>
      </c>
      <c r="AB39" s="26" t="n">
        <f aca="false">IF(OR(K39="",$E39="",N($E39)&lt;=0),"",(K39-ABS(N($F39)))/$E39)</f>
        <v>8.4468696151637</v>
      </c>
      <c r="AC39" s="26" t="n">
        <f aca="false">IF(OR(L39="",$E39="",N($E39)&lt;=0),"",(L39-ABS(N($F39)))/$E39)</f>
        <v>6.43653072946582</v>
      </c>
      <c r="AD39" s="26" t="str">
        <f aca="false">IF(OR(M39="",$E39="",N($E39)&lt;=0),"",(M39-ABS(N($F39)))/$E39)</f>
        <v/>
      </c>
      <c r="AE39" s="26" t="n">
        <f aca="false">IF(OR(N39="",$E39="",N($E39)&lt;=0),"",(N39-ABS(N($F39)))/$E39)</f>
        <v>6.72372199885123</v>
      </c>
      <c r="AF39" s="26" t="n">
        <f aca="false">IF(OR(O39="",$E39="",N($E39)&lt;=0),"",(O39-ABS(N($F39)))/$E39)</f>
        <v>6.14933946008041</v>
      </c>
      <c r="AG39" s="26" t="n">
        <f aca="false">IF(OR(P39="",$E39="",N($E39)&lt;=0),"",(P39-ABS(N($F39)))/$E39)</f>
        <v>8.4468696151637</v>
      </c>
      <c r="AH39" s="26" t="n">
        <f aca="false">IF(OR(Q39="",$E39="",N($E39)&lt;=0),"",(Q39-ABS(N($F39)))/$E39)</f>
        <v>7.98736358414704</v>
      </c>
      <c r="AI39" s="26" t="n">
        <f aca="false">IF(OR(R39="",$E39="",N($E39)&lt;=0),"",(R39-ABS(N($F39)))/$E39)</f>
        <v>11.3187823090178</v>
      </c>
      <c r="AJ39" s="26" t="str">
        <f aca="false">IF(OR(S39="",$E39="",N($E39)&lt;=0),"",(S39-ABS(N($F39)))/$E39)</f>
        <v/>
      </c>
      <c r="AK39" s="26" t="str">
        <f aca="false">IF(OR(T39="",$E39="",N($E39)&lt;=0),"",(T39-ABS(N($F39)))/$E39)</f>
        <v/>
      </c>
      <c r="AL39" s="26" t="str">
        <f aca="false">IF(OR(U39="",$E39="",N($E39)&lt;=0),"",(U39-ABS(N($F39)))/$E39)</f>
        <v/>
      </c>
      <c r="AM39" s="26" t="str">
        <f aca="false">IF(OR(V39="",$E39="",N($E39)&lt;=0),"",(V39-ABS(N($F39)))/$E39)</f>
        <v/>
      </c>
      <c r="AN39" s="26" t="n">
        <f aca="false">IF(OR(W39="",$E39="",N($E39)&lt;=0),"",(W39-ABS(N($F39)))/$E39)</f>
        <v>12.5307294658242</v>
      </c>
      <c r="AO39" s="26" t="str">
        <f aca="false">IF(OR(X39="",$E39="",N($E39)&lt;=0),"",(X39-ABS(N($F39)))/$E39)</f>
        <v/>
      </c>
      <c r="AP39" s="26" t="str">
        <f aca="false">IF(OR(Y39="",$E39="",N($E39)&lt;=0),"",(Y39-ABS(N($F39)))/$E39)</f>
        <v/>
      </c>
    </row>
    <row r="40" customFormat="false" ht="15" hidden="false" customHeight="true" outlineLevel="0" collapsed="false">
      <c r="A40" s="9" t="s">
        <v>152</v>
      </c>
      <c r="B40" s="11" t="s">
        <v>326</v>
      </c>
      <c r="C40" s="11" t="s">
        <v>327</v>
      </c>
      <c r="D40" s="21" t="n">
        <v>186.501</v>
      </c>
      <c r="E40" s="22" t="n">
        <v>2.196</v>
      </c>
      <c r="F40" s="22" t="n">
        <v>0.513</v>
      </c>
      <c r="G40" s="23" t="n">
        <v>924</v>
      </c>
      <c r="H40" s="11" t="s">
        <v>332</v>
      </c>
      <c r="I40" s="24" t="n">
        <f aca="false">MATCH(A40,'TEa input'!$A$6:$A$68,0)</f>
        <v>18</v>
      </c>
      <c r="J40" s="25" t="n">
        <f aca="false">IF(INDEX('TEa input'!$E$6:$E$68,$I40)="","",INDEX('TEa input'!$E$6:$E$68,$I40))</f>
        <v>12</v>
      </c>
      <c r="K40" s="25" t="n">
        <f aca="false">IF(INDEX('TEa input'!$G$6:$G$68,$I40)="","",INDEX('TEa input'!$G$6:$G$68,$I40))</f>
        <v>15</v>
      </c>
      <c r="L40" s="25" t="n">
        <f aca="false">IF(INDEX('TEa input'!$I$6:$I$68,$I40)="","",INDEX('TEa input'!$I$6:$I$68,$I40))</f>
        <v>9</v>
      </c>
      <c r="M40" s="25" t="str">
        <f aca="false">IF(INDEX('TEa input'!$K$6:$K$68,$I40)="","",INDEX('TEa input'!$K$6:$K$68,$I40))</f>
        <v/>
      </c>
      <c r="N40" s="25" t="n">
        <f aca="false">IF(INDEX('TEa input'!$M$6:$M$68,$I40)="","",INDEX('TEa input'!$M$6:$M$68,$I40))</f>
        <v>8</v>
      </c>
      <c r="O40" s="25" t="n">
        <f aca="false">IF(INDEX('TEa input'!$O$6:$O$68,$I40)="","",INDEX('TEa input'!$O$6:$O$68,$I40))</f>
        <v>11</v>
      </c>
      <c r="P40" s="25" t="n">
        <f aca="false">IF(INDEX('TEa input'!$Q$6:$Q$68,$I40)="","",INDEX('TEa input'!$Q$6:$Q$68,$I40))</f>
        <v>21</v>
      </c>
      <c r="Q40" s="25" t="n">
        <f aca="false">IF(INDEX('TEa input'!$R$6:$R$68,$I40)="","",INDEX('TEa input'!$R$6:$R$68,$I40))</f>
        <v>10.7</v>
      </c>
      <c r="R40" s="25" t="str">
        <f aca="false">IF(INDEX('TEa input'!$T$6:$T$68,$I40)="","",INDEX('TEa input'!$T$6:$T$68,$I40))</f>
        <v/>
      </c>
      <c r="S40" s="25" t="str">
        <f aca="false">IF(INDEX('TEa input'!$Y$6:$Y$68,$I40)="","",INDEX('TEa input'!$Y$6:$Y$68,$I40))</f>
        <v/>
      </c>
      <c r="T40" s="25" t="str">
        <f aca="false">IF(INDEX('TEa input'!$Z$6:$Z$68,$I40)="","",INDEX('TEa input'!$Z$6:$Z$68,$I40))</f>
        <v/>
      </c>
      <c r="U40" s="25" t="str">
        <f aca="false">IF(INDEX('TEa input'!$AA$6:$AA$68,$I40)="","",INDEX('TEa input'!$AA$6:$AA$68,$I40))</f>
        <v/>
      </c>
      <c r="V40" s="25" t="str">
        <f aca="false">IF(INDEX('TEa input'!$AB$6:$AB$68,$I40)="","",INDEX('TEa input'!$AB$6:$AB$68,$I40))</f>
        <v/>
      </c>
      <c r="W40" s="25" t="n">
        <f aca="false">IF(INDEX('TEa input'!$AC$6:$AC$68,$I40)="","",INDEX('TEa input'!$AC$6:$AC$68,$I40))</f>
        <v>11.4</v>
      </c>
      <c r="X40" s="25" t="str">
        <f aca="false">IF(INDEX('TEa input'!$AD$6:$AD$68,$I40)="","",INDEX('TEa input'!$AD$6:$AD$68,$I40))</f>
        <v/>
      </c>
      <c r="Y40" s="25" t="str">
        <f aca="false">IF(INDEX('TEa input'!$AF$6:$AF$68,$I40)="","",INDEX('TEa input'!$AF$6:$AF$68,$I40))</f>
        <v/>
      </c>
      <c r="AA40" s="26" t="n">
        <f aca="false">IF(OR(J40="",$E40="",N($E40)&lt;=0),"",(J40-ABS(N($F40)))/$E40)</f>
        <v>5.23087431693989</v>
      </c>
      <c r="AB40" s="26" t="n">
        <f aca="false">IF(OR(K40="",$E40="",N($E40)&lt;=0),"",(K40-ABS(N($F40)))/$E40)</f>
        <v>6.59699453551913</v>
      </c>
      <c r="AC40" s="26" t="n">
        <f aca="false">IF(OR(L40="",$E40="",N($E40)&lt;=0),"",(L40-ABS(N($F40)))/$E40)</f>
        <v>3.86475409836066</v>
      </c>
      <c r="AD40" s="26" t="str">
        <f aca="false">IF(OR(M40="",$E40="",N($E40)&lt;=0),"",(M40-ABS(N($F40)))/$E40)</f>
        <v/>
      </c>
      <c r="AE40" s="26" t="n">
        <f aca="false">IF(OR(N40="",$E40="",N($E40)&lt;=0),"",(N40-ABS(N($F40)))/$E40)</f>
        <v>3.40938069216758</v>
      </c>
      <c r="AF40" s="26" t="n">
        <f aca="false">IF(OR(O40="",$E40="",N($E40)&lt;=0),"",(O40-ABS(N($F40)))/$E40)</f>
        <v>4.77550091074681</v>
      </c>
      <c r="AG40" s="26" t="n">
        <f aca="false">IF(OR(P40="",$E40="",N($E40)&lt;=0),"",(P40-ABS(N($F40)))/$E40)</f>
        <v>9.3292349726776</v>
      </c>
      <c r="AH40" s="26" t="n">
        <f aca="false">IF(OR(Q40="",$E40="",N($E40)&lt;=0),"",(Q40-ABS(N($F40)))/$E40)</f>
        <v>4.63888888888889</v>
      </c>
      <c r="AI40" s="26" t="str">
        <f aca="false">IF(OR(R40="",$E40="",N($E40)&lt;=0),"",(R40-ABS(N($F40)))/$E40)</f>
        <v/>
      </c>
      <c r="AJ40" s="26" t="str">
        <f aca="false">IF(OR(S40="",$E40="",N($E40)&lt;=0),"",(S40-ABS(N($F40)))/$E40)</f>
        <v/>
      </c>
      <c r="AK40" s="26" t="str">
        <f aca="false">IF(OR(T40="",$E40="",N($E40)&lt;=0),"",(T40-ABS(N($F40)))/$E40)</f>
        <v/>
      </c>
      <c r="AL40" s="26" t="str">
        <f aca="false">IF(OR(U40="",$E40="",N($E40)&lt;=0),"",(U40-ABS(N($F40)))/$E40)</f>
        <v/>
      </c>
      <c r="AM40" s="26" t="str">
        <f aca="false">IF(OR(V40="",$E40="",N($E40)&lt;=0),"",(V40-ABS(N($F40)))/$E40)</f>
        <v/>
      </c>
      <c r="AN40" s="26" t="n">
        <f aca="false">IF(OR(W40="",$E40="",N($E40)&lt;=0),"",(W40-ABS(N($F40)))/$E40)</f>
        <v>4.95765027322404</v>
      </c>
      <c r="AO40" s="26" t="str">
        <f aca="false">IF(OR(X40="",$E40="",N($E40)&lt;=0),"",(X40-ABS(N($F40)))/$E40)</f>
        <v/>
      </c>
      <c r="AP40" s="26" t="str">
        <f aca="false">IF(OR(Y40="",$E40="",N($E40)&lt;=0),"",(Y40-ABS(N($F40)))/$E40)</f>
        <v/>
      </c>
    </row>
    <row r="41" customFormat="false" ht="15" hidden="false" customHeight="true" outlineLevel="0" collapsed="false">
      <c r="A41" s="9" t="s">
        <v>152</v>
      </c>
      <c r="B41" s="11" t="s">
        <v>329</v>
      </c>
      <c r="C41" s="11" t="s">
        <v>330</v>
      </c>
      <c r="D41" s="21" t="n">
        <v>476.232</v>
      </c>
      <c r="E41" s="22" t="n">
        <v>1.914</v>
      </c>
      <c r="F41" s="22" t="n">
        <v>0.534</v>
      </c>
      <c r="G41" s="23" t="n">
        <v>915</v>
      </c>
      <c r="H41" s="11" t="s">
        <v>332</v>
      </c>
      <c r="I41" s="24" t="n">
        <f aca="false">MATCH(A41,'TEa input'!$A$6:$A$68,0)</f>
        <v>18</v>
      </c>
      <c r="J41" s="25" t="n">
        <f aca="false">IF(INDEX('TEa input'!$E$6:$E$68,$I41)="","",INDEX('TEa input'!$E$6:$E$68,$I41))</f>
        <v>12</v>
      </c>
      <c r="K41" s="25" t="n">
        <f aca="false">IF(INDEX('TEa input'!$G$6:$G$68,$I41)="","",INDEX('TEa input'!$G$6:$G$68,$I41))</f>
        <v>15</v>
      </c>
      <c r="L41" s="25" t="n">
        <f aca="false">IF(INDEX('TEa input'!$I$6:$I$68,$I41)="","",INDEX('TEa input'!$I$6:$I$68,$I41))</f>
        <v>9</v>
      </c>
      <c r="M41" s="25" t="str">
        <f aca="false">IF(INDEX('TEa input'!$K$6:$K$68,$I41)="","",INDEX('TEa input'!$K$6:$K$68,$I41))</f>
        <v/>
      </c>
      <c r="N41" s="25" t="n">
        <f aca="false">IF(INDEX('TEa input'!$M$6:$M$68,$I41)="","",INDEX('TEa input'!$M$6:$M$68,$I41))</f>
        <v>8</v>
      </c>
      <c r="O41" s="25" t="n">
        <f aca="false">IF(INDEX('TEa input'!$O$6:$O$68,$I41)="","",INDEX('TEa input'!$O$6:$O$68,$I41))</f>
        <v>11</v>
      </c>
      <c r="P41" s="25" t="n">
        <f aca="false">IF(INDEX('TEa input'!$Q$6:$Q$68,$I41)="","",INDEX('TEa input'!$Q$6:$Q$68,$I41))</f>
        <v>21</v>
      </c>
      <c r="Q41" s="25" t="n">
        <f aca="false">IF(INDEX('TEa input'!$R$6:$R$68,$I41)="","",INDEX('TEa input'!$R$6:$R$68,$I41))</f>
        <v>10.7</v>
      </c>
      <c r="R41" s="25" t="str">
        <f aca="false">IF(INDEX('TEa input'!$T$6:$T$68,$I41)="","",INDEX('TEa input'!$T$6:$T$68,$I41))</f>
        <v/>
      </c>
      <c r="S41" s="25" t="str">
        <f aca="false">IF(INDEX('TEa input'!$Y$6:$Y$68,$I41)="","",INDEX('TEa input'!$Y$6:$Y$68,$I41))</f>
        <v/>
      </c>
      <c r="T41" s="25" t="str">
        <f aca="false">IF(INDEX('TEa input'!$Z$6:$Z$68,$I41)="","",INDEX('TEa input'!$Z$6:$Z$68,$I41))</f>
        <v/>
      </c>
      <c r="U41" s="25" t="str">
        <f aca="false">IF(INDEX('TEa input'!$AA$6:$AA$68,$I41)="","",INDEX('TEa input'!$AA$6:$AA$68,$I41))</f>
        <v/>
      </c>
      <c r="V41" s="25" t="str">
        <f aca="false">IF(INDEX('TEa input'!$AB$6:$AB$68,$I41)="","",INDEX('TEa input'!$AB$6:$AB$68,$I41))</f>
        <v/>
      </c>
      <c r="W41" s="25" t="n">
        <f aca="false">IF(INDEX('TEa input'!$AC$6:$AC$68,$I41)="","",INDEX('TEa input'!$AC$6:$AC$68,$I41))</f>
        <v>11.4</v>
      </c>
      <c r="X41" s="25" t="str">
        <f aca="false">IF(INDEX('TEa input'!$AD$6:$AD$68,$I41)="","",INDEX('TEa input'!$AD$6:$AD$68,$I41))</f>
        <v/>
      </c>
      <c r="Y41" s="25" t="str">
        <f aca="false">IF(INDEX('TEa input'!$AF$6:$AF$68,$I41)="","",INDEX('TEa input'!$AF$6:$AF$68,$I41))</f>
        <v/>
      </c>
      <c r="AA41" s="26" t="n">
        <f aca="false">IF(OR(J41="",$E41="",N($E41)&lt;=0),"",(J41-ABS(N($F41)))/$E41)</f>
        <v>5.99059561128527</v>
      </c>
      <c r="AB41" s="26" t="n">
        <f aca="false">IF(OR(K41="",$E41="",N($E41)&lt;=0),"",(K41-ABS(N($F41)))/$E41)</f>
        <v>7.55799373040752</v>
      </c>
      <c r="AC41" s="26" t="n">
        <f aca="false">IF(OR(L41="",$E41="",N($E41)&lt;=0),"",(L41-ABS(N($F41)))/$E41)</f>
        <v>4.42319749216301</v>
      </c>
      <c r="AD41" s="26" t="str">
        <f aca="false">IF(OR(M41="",$E41="",N($E41)&lt;=0),"",(M41-ABS(N($F41)))/$E41)</f>
        <v/>
      </c>
      <c r="AE41" s="26" t="n">
        <f aca="false">IF(OR(N41="",$E41="",N($E41)&lt;=0),"",(N41-ABS(N($F41)))/$E41)</f>
        <v>3.90073145245559</v>
      </c>
      <c r="AF41" s="26" t="n">
        <f aca="false">IF(OR(O41="",$E41="",N($E41)&lt;=0),"",(O41-ABS(N($F41)))/$E41)</f>
        <v>5.46812957157785</v>
      </c>
      <c r="AG41" s="26" t="n">
        <f aca="false">IF(OR(P41="",$E41="",N($E41)&lt;=0),"",(P41-ABS(N($F41)))/$E41)</f>
        <v>10.692789968652</v>
      </c>
      <c r="AH41" s="26" t="n">
        <f aca="false">IF(OR(Q41="",$E41="",N($E41)&lt;=0),"",(Q41-ABS(N($F41)))/$E41)</f>
        <v>5.31138975966562</v>
      </c>
      <c r="AI41" s="26" t="str">
        <f aca="false">IF(OR(R41="",$E41="",N($E41)&lt;=0),"",(R41-ABS(N($F41)))/$E41)</f>
        <v/>
      </c>
      <c r="AJ41" s="26" t="str">
        <f aca="false">IF(OR(S41="",$E41="",N($E41)&lt;=0),"",(S41-ABS(N($F41)))/$E41)</f>
        <v/>
      </c>
      <c r="AK41" s="26" t="str">
        <f aca="false">IF(OR(T41="",$E41="",N($E41)&lt;=0),"",(T41-ABS(N($F41)))/$E41)</f>
        <v/>
      </c>
      <c r="AL41" s="26" t="str">
        <f aca="false">IF(OR(U41="",$E41="",N($E41)&lt;=0),"",(U41-ABS(N($F41)))/$E41)</f>
        <v/>
      </c>
      <c r="AM41" s="26" t="str">
        <f aca="false">IF(OR(V41="",$E41="",N($E41)&lt;=0),"",(V41-ABS(N($F41)))/$E41)</f>
        <v/>
      </c>
      <c r="AN41" s="26" t="n">
        <f aca="false">IF(OR(W41="",$E41="",N($E41)&lt;=0),"",(W41-ABS(N($F41)))/$E41)</f>
        <v>5.67711598746082</v>
      </c>
      <c r="AO41" s="26" t="str">
        <f aca="false">IF(OR(X41="",$E41="",N($E41)&lt;=0),"",(X41-ABS(N($F41)))/$E41)</f>
        <v/>
      </c>
      <c r="AP41" s="26" t="str">
        <f aca="false">IF(OR(Y41="",$E41="",N($E41)&lt;=0),"",(Y41-ABS(N($F41)))/$E41)</f>
        <v/>
      </c>
    </row>
    <row r="42" customFormat="false" ht="15" hidden="false" customHeight="true" outlineLevel="0" collapsed="false">
      <c r="A42" s="9" t="s">
        <v>155</v>
      </c>
      <c r="B42" s="11" t="s">
        <v>326</v>
      </c>
      <c r="C42" s="11" t="s">
        <v>327</v>
      </c>
      <c r="D42" s="21" t="n">
        <v>100.839</v>
      </c>
      <c r="E42" s="22" t="n">
        <v>3.434</v>
      </c>
      <c r="F42" s="22" t="n">
        <v>0.366</v>
      </c>
      <c r="G42" s="23" t="n">
        <v>924</v>
      </c>
      <c r="H42" s="11" t="s">
        <v>333</v>
      </c>
      <c r="I42" s="24" t="n">
        <f aca="false">MATCH(A42,'TEa input'!$A$6:$A$68,0)</f>
        <v>19</v>
      </c>
      <c r="J42" s="25" t="n">
        <f aca="false">IF(INDEX('TEa input'!$E$6:$E$68,$I42)="","",INDEX('TEa input'!$E$6:$E$68,$I42))</f>
        <v>12</v>
      </c>
      <c r="K42" s="25" t="n">
        <f aca="false">IF(INDEX('TEa input'!$G$6:$G$68,$I42)="","",INDEX('TEa input'!$G$6:$G$68,$I42))</f>
        <v>20</v>
      </c>
      <c r="L42" s="25" t="n">
        <f aca="false">IF(INDEX('TEa input'!$I$6:$I$68,$I42)="","",INDEX('TEa input'!$I$6:$I$68,$I42))</f>
        <v>11</v>
      </c>
      <c r="M42" s="25" t="str">
        <f aca="false">IF(INDEX('TEa input'!$K$6:$K$68,$I42)="","",INDEX('TEa input'!$K$6:$K$68,$I42))</f>
        <v/>
      </c>
      <c r="N42" s="25" t="n">
        <f aca="false">IF(INDEX('TEa input'!$M$6:$M$68,$I42)="","",INDEX('TEa input'!$M$6:$M$68,$I42))</f>
        <v>12</v>
      </c>
      <c r="O42" s="25" t="n">
        <f aca="false">IF(INDEX('TEa input'!$O$6:$O$68,$I42)="","",INDEX('TEa input'!$O$6:$O$68,$I42))</f>
        <v>15</v>
      </c>
      <c r="P42" s="25" t="n">
        <f aca="false">IF(INDEX('TEa input'!$Q$6:$Q$68,$I42)="","",INDEX('TEa input'!$Q$6:$Q$68,$I42))</f>
        <v>21</v>
      </c>
      <c r="Q42" s="25" t="str">
        <f aca="false">IF(INDEX('TEa input'!$R$6:$R$68,$I42)="","",INDEX('TEa input'!$R$6:$R$68,$I42))</f>
        <v/>
      </c>
      <c r="R42" s="25" t="n">
        <f aca="false">IF(INDEX('TEa input'!$T$6:$T$68,$I42)="","",INDEX('TEa input'!$T$6:$T$68,$I42))</f>
        <v>20</v>
      </c>
      <c r="S42" s="25" t="str">
        <f aca="false">IF(INDEX('TEa input'!$Y$6:$Y$68,$I42)="","",INDEX('TEa input'!$Y$6:$Y$68,$I42))</f>
        <v/>
      </c>
      <c r="T42" s="25" t="str">
        <f aca="false">IF(INDEX('TEa input'!$Z$6:$Z$68,$I42)="","",INDEX('TEa input'!$Z$6:$Z$68,$I42))</f>
        <v/>
      </c>
      <c r="U42" s="25" t="str">
        <f aca="false">IF(INDEX('TEa input'!$AA$6:$AA$68,$I42)="","",INDEX('TEa input'!$AA$6:$AA$68,$I42))</f>
        <v/>
      </c>
      <c r="V42" s="25" t="str">
        <f aca="false">IF(INDEX('TEa input'!$AB$6:$AB$68,$I42)="","",INDEX('TEa input'!$AB$6:$AB$68,$I42))</f>
        <v/>
      </c>
      <c r="W42" s="25" t="n">
        <f aca="false">IF(INDEX('TEa input'!$AC$6:$AC$68,$I42)="","",INDEX('TEa input'!$AC$6:$AC$68,$I42))</f>
        <v>30.3</v>
      </c>
      <c r="X42" s="25" t="str">
        <f aca="false">IF(INDEX('TEa input'!$AD$6:$AD$68,$I42)="","",INDEX('TEa input'!$AD$6:$AD$68,$I42))</f>
        <v/>
      </c>
      <c r="Y42" s="25" t="str">
        <f aca="false">IF(INDEX('TEa input'!$AF$6:$AF$68,$I42)="","",INDEX('TEa input'!$AF$6:$AF$68,$I42))</f>
        <v/>
      </c>
      <c r="AA42" s="26" t="n">
        <f aca="false">IF(OR(J42="",$E42="",N($E42)&lt;=0),"",(J42-ABS(N($F42)))/$E42)</f>
        <v>3.38788584740827</v>
      </c>
      <c r="AB42" s="26" t="n">
        <f aca="false">IF(OR(K42="",$E42="",N($E42)&lt;=0),"",(K42-ABS(N($F42)))/$E42)</f>
        <v>5.71753057658707</v>
      </c>
      <c r="AC42" s="26" t="n">
        <f aca="false">IF(OR(L42="",$E42="",N($E42)&lt;=0),"",(L42-ABS(N($F42)))/$E42)</f>
        <v>3.09668025626092</v>
      </c>
      <c r="AD42" s="26" t="str">
        <f aca="false">IF(OR(M42="",$E42="",N($E42)&lt;=0),"",(M42-ABS(N($F42)))/$E42)</f>
        <v/>
      </c>
      <c r="AE42" s="26" t="n">
        <f aca="false">IF(OR(N42="",$E42="",N($E42)&lt;=0),"",(N42-ABS(N($F42)))/$E42)</f>
        <v>3.38788584740827</v>
      </c>
      <c r="AF42" s="26" t="n">
        <f aca="false">IF(OR(O42="",$E42="",N($E42)&lt;=0),"",(O42-ABS(N($F42)))/$E42)</f>
        <v>4.26150262085032</v>
      </c>
      <c r="AG42" s="26" t="n">
        <f aca="false">IF(OR(P42="",$E42="",N($E42)&lt;=0),"",(P42-ABS(N($F42)))/$E42)</f>
        <v>6.00873616773442</v>
      </c>
      <c r="AH42" s="26" t="str">
        <f aca="false">IF(OR(Q42="",$E42="",N($E42)&lt;=0),"",(Q42-ABS(N($F42)))/$E42)</f>
        <v/>
      </c>
      <c r="AI42" s="26" t="n">
        <f aca="false">IF(OR(R42="",$E42="",N($E42)&lt;=0),"",(R42-ABS(N($F42)))/$E42)</f>
        <v>5.71753057658707</v>
      </c>
      <c r="AJ42" s="26" t="str">
        <f aca="false">IF(OR(S42="",$E42="",N($E42)&lt;=0),"",(S42-ABS(N($F42)))/$E42)</f>
        <v/>
      </c>
      <c r="AK42" s="26" t="str">
        <f aca="false">IF(OR(T42="",$E42="",N($E42)&lt;=0),"",(T42-ABS(N($F42)))/$E42)</f>
        <v/>
      </c>
      <c r="AL42" s="26" t="str">
        <f aca="false">IF(OR(U42="",$E42="",N($E42)&lt;=0),"",(U42-ABS(N($F42)))/$E42)</f>
        <v/>
      </c>
      <c r="AM42" s="26" t="str">
        <f aca="false">IF(OR(V42="",$E42="",N($E42)&lt;=0),"",(V42-ABS(N($F42)))/$E42)</f>
        <v/>
      </c>
      <c r="AN42" s="26" t="n">
        <f aca="false">IF(OR(W42="",$E42="",N($E42)&lt;=0),"",(W42-ABS(N($F42)))/$E42)</f>
        <v>8.71694816540478</v>
      </c>
      <c r="AO42" s="26" t="str">
        <f aca="false">IF(OR(X42="",$E42="",N($E42)&lt;=0),"",(X42-ABS(N($F42)))/$E42)</f>
        <v/>
      </c>
      <c r="AP42" s="26" t="str">
        <f aca="false">IF(OR(Y42="",$E42="",N($E42)&lt;=0),"",(Y42-ABS(N($F42)))/$E42)</f>
        <v/>
      </c>
    </row>
    <row r="43" customFormat="false" ht="15" hidden="false" customHeight="true" outlineLevel="0" collapsed="false">
      <c r="A43" s="9" t="s">
        <v>155</v>
      </c>
      <c r="B43" s="11" t="s">
        <v>329</v>
      </c>
      <c r="C43" s="11" t="s">
        <v>330</v>
      </c>
      <c r="D43" s="21" t="n">
        <v>371.25</v>
      </c>
      <c r="E43" s="22" t="n">
        <v>2.482</v>
      </c>
      <c r="F43" s="22" t="n">
        <v>0.596</v>
      </c>
      <c r="G43" s="23" t="n">
        <v>917</v>
      </c>
      <c r="H43" s="11" t="s">
        <v>331</v>
      </c>
      <c r="I43" s="24" t="n">
        <f aca="false">MATCH(A43,'TEa input'!$A$6:$A$68,0)</f>
        <v>19</v>
      </c>
      <c r="J43" s="25" t="n">
        <f aca="false">IF(INDEX('TEa input'!$E$6:$E$68,$I43)="","",INDEX('TEa input'!$E$6:$E$68,$I43))</f>
        <v>12</v>
      </c>
      <c r="K43" s="25" t="n">
        <f aca="false">IF(INDEX('TEa input'!$G$6:$G$68,$I43)="","",INDEX('TEa input'!$G$6:$G$68,$I43))</f>
        <v>20</v>
      </c>
      <c r="L43" s="25" t="n">
        <f aca="false">IF(INDEX('TEa input'!$I$6:$I$68,$I43)="","",INDEX('TEa input'!$I$6:$I$68,$I43))</f>
        <v>11</v>
      </c>
      <c r="M43" s="25" t="str">
        <f aca="false">IF(INDEX('TEa input'!$K$6:$K$68,$I43)="","",INDEX('TEa input'!$K$6:$K$68,$I43))</f>
        <v/>
      </c>
      <c r="N43" s="25" t="n">
        <f aca="false">IF(INDEX('TEa input'!$M$6:$M$68,$I43)="","",INDEX('TEa input'!$M$6:$M$68,$I43))</f>
        <v>12</v>
      </c>
      <c r="O43" s="25" t="n">
        <f aca="false">IF(INDEX('TEa input'!$O$6:$O$68,$I43)="","",INDEX('TEa input'!$O$6:$O$68,$I43))</f>
        <v>15</v>
      </c>
      <c r="P43" s="25" t="n">
        <f aca="false">IF(INDEX('TEa input'!$Q$6:$Q$68,$I43)="","",INDEX('TEa input'!$Q$6:$Q$68,$I43))</f>
        <v>21</v>
      </c>
      <c r="Q43" s="25" t="str">
        <f aca="false">IF(INDEX('TEa input'!$R$6:$R$68,$I43)="","",INDEX('TEa input'!$R$6:$R$68,$I43))</f>
        <v/>
      </c>
      <c r="R43" s="25" t="n">
        <f aca="false">IF(INDEX('TEa input'!$T$6:$T$68,$I43)="","",INDEX('TEa input'!$T$6:$T$68,$I43))</f>
        <v>20</v>
      </c>
      <c r="S43" s="25" t="str">
        <f aca="false">IF(INDEX('TEa input'!$Y$6:$Y$68,$I43)="","",INDEX('TEa input'!$Y$6:$Y$68,$I43))</f>
        <v/>
      </c>
      <c r="T43" s="25" t="str">
        <f aca="false">IF(INDEX('TEa input'!$Z$6:$Z$68,$I43)="","",INDEX('TEa input'!$Z$6:$Z$68,$I43))</f>
        <v/>
      </c>
      <c r="U43" s="25" t="str">
        <f aca="false">IF(INDEX('TEa input'!$AA$6:$AA$68,$I43)="","",INDEX('TEa input'!$AA$6:$AA$68,$I43))</f>
        <v/>
      </c>
      <c r="V43" s="25" t="str">
        <f aca="false">IF(INDEX('TEa input'!$AB$6:$AB$68,$I43)="","",INDEX('TEa input'!$AB$6:$AB$68,$I43))</f>
        <v/>
      </c>
      <c r="W43" s="25" t="n">
        <f aca="false">IF(INDEX('TEa input'!$AC$6:$AC$68,$I43)="","",INDEX('TEa input'!$AC$6:$AC$68,$I43))</f>
        <v>30.3</v>
      </c>
      <c r="X43" s="25" t="str">
        <f aca="false">IF(INDEX('TEa input'!$AD$6:$AD$68,$I43)="","",INDEX('TEa input'!$AD$6:$AD$68,$I43))</f>
        <v/>
      </c>
      <c r="Y43" s="25" t="str">
        <f aca="false">IF(INDEX('TEa input'!$AF$6:$AF$68,$I43)="","",INDEX('TEa input'!$AF$6:$AF$68,$I43))</f>
        <v/>
      </c>
      <c r="AA43" s="26" t="n">
        <f aca="false">IF(OR(J43="",$E43="",N($E43)&lt;=0),"",(J43-ABS(N($F43)))/$E43)</f>
        <v>4.59468170829976</v>
      </c>
      <c r="AB43" s="26" t="n">
        <f aca="false">IF(OR(K43="",$E43="",N($E43)&lt;=0),"",(K43-ABS(N($F43)))/$E43)</f>
        <v>7.81788879935536</v>
      </c>
      <c r="AC43" s="26" t="n">
        <f aca="false">IF(OR(L43="",$E43="",N($E43)&lt;=0),"",(L43-ABS(N($F43)))/$E43)</f>
        <v>4.19178082191781</v>
      </c>
      <c r="AD43" s="26" t="str">
        <f aca="false">IF(OR(M43="",$E43="",N($E43)&lt;=0),"",(M43-ABS(N($F43)))/$E43)</f>
        <v/>
      </c>
      <c r="AE43" s="26" t="n">
        <f aca="false">IF(OR(N43="",$E43="",N($E43)&lt;=0),"",(N43-ABS(N($F43)))/$E43)</f>
        <v>4.59468170829976</v>
      </c>
      <c r="AF43" s="26" t="n">
        <f aca="false">IF(OR(O43="",$E43="",N($E43)&lt;=0),"",(O43-ABS(N($F43)))/$E43)</f>
        <v>5.80338436744561</v>
      </c>
      <c r="AG43" s="26" t="n">
        <f aca="false">IF(OR(P43="",$E43="",N($E43)&lt;=0),"",(P43-ABS(N($F43)))/$E43)</f>
        <v>8.22078968573731</v>
      </c>
      <c r="AH43" s="26" t="str">
        <f aca="false">IF(OR(Q43="",$E43="",N($E43)&lt;=0),"",(Q43-ABS(N($F43)))/$E43)</f>
        <v/>
      </c>
      <c r="AI43" s="26" t="n">
        <f aca="false">IF(OR(R43="",$E43="",N($E43)&lt;=0),"",(R43-ABS(N($F43)))/$E43)</f>
        <v>7.81788879935536</v>
      </c>
      <c r="AJ43" s="26" t="str">
        <f aca="false">IF(OR(S43="",$E43="",N($E43)&lt;=0),"",(S43-ABS(N($F43)))/$E43)</f>
        <v/>
      </c>
      <c r="AK43" s="26" t="str">
        <f aca="false">IF(OR(T43="",$E43="",N($E43)&lt;=0),"",(T43-ABS(N($F43)))/$E43)</f>
        <v/>
      </c>
      <c r="AL43" s="26" t="str">
        <f aca="false">IF(OR(U43="",$E43="",N($E43)&lt;=0),"",(U43-ABS(N($F43)))/$E43)</f>
        <v/>
      </c>
      <c r="AM43" s="26" t="str">
        <f aca="false">IF(OR(V43="",$E43="",N($E43)&lt;=0),"",(V43-ABS(N($F43)))/$E43)</f>
        <v/>
      </c>
      <c r="AN43" s="26" t="n">
        <f aca="false">IF(OR(W43="",$E43="",N($E43)&lt;=0),"",(W43-ABS(N($F43)))/$E43)</f>
        <v>11.9677679290894</v>
      </c>
      <c r="AO43" s="26" t="str">
        <f aca="false">IF(OR(X43="",$E43="",N($E43)&lt;=0),"",(X43-ABS(N($F43)))/$E43)</f>
        <v/>
      </c>
      <c r="AP43" s="26" t="str">
        <f aca="false">IF(OR(Y43="",$E43="",N($E43)&lt;=0),"",(Y43-ABS(N($F43)))/$E43)</f>
        <v/>
      </c>
    </row>
    <row r="44" customFormat="false" ht="15" hidden="false" customHeight="true" outlineLevel="0" collapsed="false">
      <c r="A44" s="9" t="s">
        <v>157</v>
      </c>
      <c r="B44" s="11" t="s">
        <v>326</v>
      </c>
      <c r="C44" s="11" t="s">
        <v>327</v>
      </c>
      <c r="D44" s="21" t="n">
        <v>100.975</v>
      </c>
      <c r="E44" s="22" t="n">
        <v>1.065</v>
      </c>
      <c r="F44" s="22" t="n">
        <v>0.179</v>
      </c>
      <c r="G44" s="23" t="n">
        <v>937</v>
      </c>
      <c r="H44" s="11" t="s">
        <v>332</v>
      </c>
      <c r="I44" s="24" t="n">
        <f aca="false">MATCH(A44,'TEa input'!$A$6:$A$68,0)</f>
        <v>20</v>
      </c>
      <c r="J44" s="25" t="n">
        <f aca="false">IF(INDEX('TEa input'!$E$6:$E$68,$I44)="","",INDEX('TEa input'!$E$6:$E$68,$I44))</f>
        <v>12</v>
      </c>
      <c r="K44" s="25" t="n">
        <f aca="false">IF(INDEX('TEa input'!$G$6:$G$68,$I44)="","",INDEX('TEa input'!$G$6:$G$68,$I44))</f>
        <v>20</v>
      </c>
      <c r="L44" s="25" t="n">
        <f aca="false">IF(INDEX('TEa input'!$I$6:$I$68,$I44)="","",INDEX('TEa input'!$I$6:$I$68,$I44))</f>
        <v>7</v>
      </c>
      <c r="M44" s="25" t="str">
        <f aca="false">IF(INDEX('TEa input'!$K$6:$K$68,$I44)="","",INDEX('TEa input'!$K$6:$K$68,$I44))</f>
        <v/>
      </c>
      <c r="N44" s="25" t="n">
        <f aca="false">IF(INDEX('TEa input'!$M$6:$M$68,$I44)="","",INDEX('TEa input'!$M$6:$M$68,$I44))</f>
        <v>10</v>
      </c>
      <c r="O44" s="25" t="n">
        <f aca="false">IF(INDEX('TEa input'!$O$6:$O$68,$I44)="","",INDEX('TEa input'!$O$6:$O$68,$I44))</f>
        <v>15</v>
      </c>
      <c r="P44" s="25" t="n">
        <f aca="false">IF(INDEX('TEa input'!$Q$6:$Q$68,$I44)="","",INDEX('TEa input'!$Q$6:$Q$68,$I44))</f>
        <v>15</v>
      </c>
      <c r="Q44" s="25" t="str">
        <f aca="false">IF(INDEX('TEa input'!$R$6:$R$68,$I44)="","",INDEX('TEa input'!$R$6:$R$68,$I44))</f>
        <v/>
      </c>
      <c r="R44" s="25" t="str">
        <f aca="false">IF(INDEX('TEa input'!$T$6:$T$68,$I44)="","",INDEX('TEa input'!$T$6:$T$68,$I44))</f>
        <v/>
      </c>
      <c r="S44" s="25" t="str">
        <f aca="false">IF(INDEX('TEa input'!$Y$6:$Y$68,$I44)="","",INDEX('TEa input'!$Y$6:$Y$68,$I44))</f>
        <v/>
      </c>
      <c r="T44" s="25" t="str">
        <f aca="false">IF(INDEX('TEa input'!$Z$6:$Z$68,$I44)="","",INDEX('TEa input'!$Z$6:$Z$68,$I44))</f>
        <v/>
      </c>
      <c r="U44" s="25" t="str">
        <f aca="false">IF(INDEX('TEa input'!$AA$6:$AA$68,$I44)="","",INDEX('TEa input'!$AA$6:$AA$68,$I44))</f>
        <v/>
      </c>
      <c r="V44" s="25" t="str">
        <f aca="false">IF(INDEX('TEa input'!$AB$6:$AB$68,$I44)="","",INDEX('TEa input'!$AB$6:$AB$68,$I44))</f>
        <v/>
      </c>
      <c r="W44" s="25" t="n">
        <f aca="false">IF(INDEX('TEa input'!$AC$6:$AC$68,$I44)="","",INDEX('TEa input'!$AC$6:$AC$68,$I44))</f>
        <v>14.6</v>
      </c>
      <c r="X44" s="25" t="str">
        <f aca="false">IF(INDEX('TEa input'!$AD$6:$AD$68,$I44)="","",INDEX('TEa input'!$AD$6:$AD$68,$I44))</f>
        <v/>
      </c>
      <c r="Y44" s="25" t="str">
        <f aca="false">IF(INDEX('TEa input'!$AF$6:$AF$68,$I44)="","",INDEX('TEa input'!$AF$6:$AF$68,$I44))</f>
        <v/>
      </c>
      <c r="AA44" s="26" t="n">
        <f aca="false">IF(OR(J44="",$E44="",N($E44)&lt;=0),"",(J44-ABS(N($F44)))/$E44)</f>
        <v>11.0995305164319</v>
      </c>
      <c r="AB44" s="26" t="n">
        <f aca="false">IF(OR(K44="",$E44="",N($E44)&lt;=0),"",(K44-ABS(N($F44)))/$E44)</f>
        <v>18.6112676056338</v>
      </c>
      <c r="AC44" s="26" t="n">
        <f aca="false">IF(OR(L44="",$E44="",N($E44)&lt;=0),"",(L44-ABS(N($F44)))/$E44)</f>
        <v>6.40469483568075</v>
      </c>
      <c r="AD44" s="26" t="str">
        <f aca="false">IF(OR(M44="",$E44="",N($E44)&lt;=0),"",(M44-ABS(N($F44)))/$E44)</f>
        <v/>
      </c>
      <c r="AE44" s="26" t="n">
        <f aca="false">IF(OR(N44="",$E44="",N($E44)&lt;=0),"",(N44-ABS(N($F44)))/$E44)</f>
        <v>9.22159624413146</v>
      </c>
      <c r="AF44" s="26" t="n">
        <f aca="false">IF(OR(O44="",$E44="",N($E44)&lt;=0),"",(O44-ABS(N($F44)))/$E44)</f>
        <v>13.9164319248826</v>
      </c>
      <c r="AG44" s="26" t="n">
        <f aca="false">IF(OR(P44="",$E44="",N($E44)&lt;=0),"",(P44-ABS(N($F44)))/$E44)</f>
        <v>13.9164319248826</v>
      </c>
      <c r="AH44" s="26" t="str">
        <f aca="false">IF(OR(Q44="",$E44="",N($E44)&lt;=0),"",(Q44-ABS(N($F44)))/$E44)</f>
        <v/>
      </c>
      <c r="AI44" s="26" t="str">
        <f aca="false">IF(OR(R44="",$E44="",N($E44)&lt;=0),"",(R44-ABS(N($F44)))/$E44)</f>
        <v/>
      </c>
      <c r="AJ44" s="26" t="str">
        <f aca="false">IF(OR(S44="",$E44="",N($E44)&lt;=0),"",(S44-ABS(N($F44)))/$E44)</f>
        <v/>
      </c>
      <c r="AK44" s="26" t="str">
        <f aca="false">IF(OR(T44="",$E44="",N($E44)&lt;=0),"",(T44-ABS(N($F44)))/$E44)</f>
        <v/>
      </c>
      <c r="AL44" s="26" t="str">
        <f aca="false">IF(OR(U44="",$E44="",N($E44)&lt;=0),"",(U44-ABS(N($F44)))/$E44)</f>
        <v/>
      </c>
      <c r="AM44" s="26" t="str">
        <f aca="false">IF(OR(V44="",$E44="",N($E44)&lt;=0),"",(V44-ABS(N($F44)))/$E44)</f>
        <v/>
      </c>
      <c r="AN44" s="26" t="n">
        <f aca="false">IF(OR(W44="",$E44="",N($E44)&lt;=0),"",(W44-ABS(N($F44)))/$E44)</f>
        <v>13.5408450704225</v>
      </c>
      <c r="AO44" s="26" t="str">
        <f aca="false">IF(OR(X44="",$E44="",N($E44)&lt;=0),"",(X44-ABS(N($F44)))/$E44)</f>
        <v/>
      </c>
      <c r="AP44" s="26" t="str">
        <f aca="false">IF(OR(Y44="",$E44="",N($E44)&lt;=0),"",(Y44-ABS(N($F44)))/$E44)</f>
        <v/>
      </c>
    </row>
    <row r="45" customFormat="false" ht="15" hidden="false" customHeight="true" outlineLevel="0" collapsed="false">
      <c r="A45" s="9" t="s">
        <v>157</v>
      </c>
      <c r="B45" s="11" t="s">
        <v>329</v>
      </c>
      <c r="C45" s="11" t="s">
        <v>330</v>
      </c>
      <c r="D45" s="21" t="n">
        <v>408.954</v>
      </c>
      <c r="E45" s="22" t="n">
        <v>0.913</v>
      </c>
      <c r="F45" s="22" t="n">
        <v>0.2</v>
      </c>
      <c r="G45" s="23" t="n">
        <v>926</v>
      </c>
      <c r="H45" s="11" t="s">
        <v>332</v>
      </c>
      <c r="I45" s="24" t="n">
        <f aca="false">MATCH(A45,'TEa input'!$A$6:$A$68,0)</f>
        <v>20</v>
      </c>
      <c r="J45" s="25" t="n">
        <f aca="false">IF(INDEX('TEa input'!$E$6:$E$68,$I45)="","",INDEX('TEa input'!$E$6:$E$68,$I45))</f>
        <v>12</v>
      </c>
      <c r="K45" s="25" t="n">
        <f aca="false">IF(INDEX('TEa input'!$G$6:$G$68,$I45)="","",INDEX('TEa input'!$G$6:$G$68,$I45))</f>
        <v>20</v>
      </c>
      <c r="L45" s="25" t="n">
        <f aca="false">IF(INDEX('TEa input'!$I$6:$I$68,$I45)="","",INDEX('TEa input'!$I$6:$I$68,$I45))</f>
        <v>7</v>
      </c>
      <c r="M45" s="25" t="str">
        <f aca="false">IF(INDEX('TEa input'!$K$6:$K$68,$I45)="","",INDEX('TEa input'!$K$6:$K$68,$I45))</f>
        <v/>
      </c>
      <c r="N45" s="25" t="n">
        <f aca="false">IF(INDEX('TEa input'!$M$6:$M$68,$I45)="","",INDEX('TEa input'!$M$6:$M$68,$I45))</f>
        <v>10</v>
      </c>
      <c r="O45" s="25" t="n">
        <f aca="false">IF(INDEX('TEa input'!$O$6:$O$68,$I45)="","",INDEX('TEa input'!$O$6:$O$68,$I45))</f>
        <v>15</v>
      </c>
      <c r="P45" s="25" t="n">
        <f aca="false">IF(INDEX('TEa input'!$Q$6:$Q$68,$I45)="","",INDEX('TEa input'!$Q$6:$Q$68,$I45))</f>
        <v>15</v>
      </c>
      <c r="Q45" s="25" t="str">
        <f aca="false">IF(INDEX('TEa input'!$R$6:$R$68,$I45)="","",INDEX('TEa input'!$R$6:$R$68,$I45))</f>
        <v/>
      </c>
      <c r="R45" s="25" t="str">
        <f aca="false">IF(INDEX('TEa input'!$T$6:$T$68,$I45)="","",INDEX('TEa input'!$T$6:$T$68,$I45))</f>
        <v/>
      </c>
      <c r="S45" s="25" t="str">
        <f aca="false">IF(INDEX('TEa input'!$Y$6:$Y$68,$I45)="","",INDEX('TEa input'!$Y$6:$Y$68,$I45))</f>
        <v/>
      </c>
      <c r="T45" s="25" t="str">
        <f aca="false">IF(INDEX('TEa input'!$Z$6:$Z$68,$I45)="","",INDEX('TEa input'!$Z$6:$Z$68,$I45))</f>
        <v/>
      </c>
      <c r="U45" s="25" t="str">
        <f aca="false">IF(INDEX('TEa input'!$AA$6:$AA$68,$I45)="","",INDEX('TEa input'!$AA$6:$AA$68,$I45))</f>
        <v/>
      </c>
      <c r="V45" s="25" t="str">
        <f aca="false">IF(INDEX('TEa input'!$AB$6:$AB$68,$I45)="","",INDEX('TEa input'!$AB$6:$AB$68,$I45))</f>
        <v/>
      </c>
      <c r="W45" s="25" t="n">
        <f aca="false">IF(INDEX('TEa input'!$AC$6:$AC$68,$I45)="","",INDEX('TEa input'!$AC$6:$AC$68,$I45))</f>
        <v>14.6</v>
      </c>
      <c r="X45" s="25" t="str">
        <f aca="false">IF(INDEX('TEa input'!$AD$6:$AD$68,$I45)="","",INDEX('TEa input'!$AD$6:$AD$68,$I45))</f>
        <v/>
      </c>
      <c r="Y45" s="25" t="str">
        <f aca="false">IF(INDEX('TEa input'!$AF$6:$AF$68,$I45)="","",INDEX('TEa input'!$AF$6:$AF$68,$I45))</f>
        <v/>
      </c>
      <c r="AA45" s="26" t="n">
        <f aca="false">IF(OR(J45="",$E45="",N($E45)&lt;=0),"",(J45-ABS(N($F45)))/$E45)</f>
        <v>12.9244249726177</v>
      </c>
      <c r="AB45" s="26" t="n">
        <f aca="false">IF(OR(K45="",$E45="",N($E45)&lt;=0),"",(K45-ABS(N($F45)))/$E45)</f>
        <v>21.6867469879518</v>
      </c>
      <c r="AC45" s="26" t="n">
        <f aca="false">IF(OR(L45="",$E45="",N($E45)&lt;=0),"",(L45-ABS(N($F45)))/$E45)</f>
        <v>7.44797371303395</v>
      </c>
      <c r="AD45" s="26" t="str">
        <f aca="false">IF(OR(M45="",$E45="",N($E45)&lt;=0),"",(M45-ABS(N($F45)))/$E45)</f>
        <v/>
      </c>
      <c r="AE45" s="26" t="n">
        <f aca="false">IF(OR(N45="",$E45="",N($E45)&lt;=0),"",(N45-ABS(N($F45)))/$E45)</f>
        <v>10.7338444687842</v>
      </c>
      <c r="AF45" s="26" t="n">
        <f aca="false">IF(OR(O45="",$E45="",N($E45)&lt;=0),"",(O45-ABS(N($F45)))/$E45)</f>
        <v>16.210295728368</v>
      </c>
      <c r="AG45" s="26" t="n">
        <f aca="false">IF(OR(P45="",$E45="",N($E45)&lt;=0),"",(P45-ABS(N($F45)))/$E45)</f>
        <v>16.210295728368</v>
      </c>
      <c r="AH45" s="26" t="str">
        <f aca="false">IF(OR(Q45="",$E45="",N($E45)&lt;=0),"",(Q45-ABS(N($F45)))/$E45)</f>
        <v/>
      </c>
      <c r="AI45" s="26" t="str">
        <f aca="false">IF(OR(R45="",$E45="",N($E45)&lt;=0),"",(R45-ABS(N($F45)))/$E45)</f>
        <v/>
      </c>
      <c r="AJ45" s="26" t="str">
        <f aca="false">IF(OR(S45="",$E45="",N($E45)&lt;=0),"",(S45-ABS(N($F45)))/$E45)</f>
        <v/>
      </c>
      <c r="AK45" s="26" t="str">
        <f aca="false">IF(OR(T45="",$E45="",N($E45)&lt;=0),"",(T45-ABS(N($F45)))/$E45)</f>
        <v/>
      </c>
      <c r="AL45" s="26" t="str">
        <f aca="false">IF(OR(U45="",$E45="",N($E45)&lt;=0),"",(U45-ABS(N($F45)))/$E45)</f>
        <v/>
      </c>
      <c r="AM45" s="26" t="str">
        <f aca="false">IF(OR(V45="",$E45="",N($E45)&lt;=0),"",(V45-ABS(N($F45)))/$E45)</f>
        <v/>
      </c>
      <c r="AN45" s="26" t="n">
        <f aca="false">IF(OR(W45="",$E45="",N($E45)&lt;=0),"",(W45-ABS(N($F45)))/$E45)</f>
        <v>15.7721796276013</v>
      </c>
      <c r="AO45" s="26" t="str">
        <f aca="false">IF(OR(X45="",$E45="",N($E45)&lt;=0),"",(X45-ABS(N($F45)))/$E45)</f>
        <v/>
      </c>
      <c r="AP45" s="26" t="str">
        <f aca="false">IF(OR(Y45="",$E45="",N($E45)&lt;=0),"",(Y45-ABS(N($F45)))/$E45)</f>
        <v/>
      </c>
    </row>
    <row r="46" customFormat="false" ht="15" hidden="false" customHeight="true" outlineLevel="0" collapsed="false">
      <c r="A46" s="9" t="s">
        <v>160</v>
      </c>
      <c r="B46" s="11" t="s">
        <v>326</v>
      </c>
      <c r="C46" s="11" t="s">
        <v>327</v>
      </c>
      <c r="D46" s="21" t="n">
        <v>52.6128</v>
      </c>
      <c r="E46" s="22" t="n">
        <v>4.17</v>
      </c>
      <c r="F46" s="22" t="n">
        <v>0.069</v>
      </c>
      <c r="G46" s="23" t="n">
        <v>986</v>
      </c>
      <c r="H46" s="11" t="s">
        <v>332</v>
      </c>
      <c r="I46" s="24" t="n">
        <f aca="false">MATCH(A46,'TEa input'!$A$6:$A$68,0)</f>
        <v>21</v>
      </c>
      <c r="J46" s="25" t="n">
        <f aca="false">IF(INDEX('TEa input'!$E$6:$E$68,$I46)="","",INDEX('TEa input'!$E$6:$E$68,$I46))</f>
        <v>12</v>
      </c>
      <c r="K46" s="25" t="str">
        <f aca="false">IF(INDEX('TEa input'!$G$6:$G$68,$I46)="","",INDEX('TEa input'!$G$6:$G$68,$I46))</f>
        <v/>
      </c>
      <c r="L46" s="25" t="n">
        <f aca="false">IF(INDEX('TEa input'!$I$6:$I$68,$I46)="","",INDEX('TEa input'!$I$6:$I$68,$I46))</f>
        <v>11</v>
      </c>
      <c r="M46" s="25" t="str">
        <f aca="false">IF(INDEX('TEa input'!$K$6:$K$68,$I46)="","",INDEX('TEa input'!$K$6:$K$68,$I46))</f>
        <v/>
      </c>
      <c r="N46" s="25" t="n">
        <f aca="false">IF(INDEX('TEa input'!$M$6:$M$68,$I46)="","",INDEX('TEa input'!$M$6:$M$68,$I46))</f>
        <v>20</v>
      </c>
      <c r="O46" s="25" t="str">
        <f aca="false">IF(INDEX('TEa input'!$O$6:$O$68,$I46)="","",INDEX('TEa input'!$O$6:$O$68,$I46))</f>
        <v/>
      </c>
      <c r="P46" s="25" t="n">
        <f aca="false">IF(INDEX('TEa input'!$Q$6:$Q$68,$I46)="","",INDEX('TEa input'!$Q$6:$Q$68,$I46))</f>
        <v>24</v>
      </c>
      <c r="Q46" s="25" t="n">
        <f aca="false">IF(INDEX('TEa input'!$R$6:$R$68,$I46)="","",INDEX('TEa input'!$R$6:$R$68,$I46))</f>
        <v>14.3</v>
      </c>
      <c r="R46" s="25" t="str">
        <f aca="false">IF(INDEX('TEa input'!$T$6:$T$68,$I46)="","",INDEX('TEa input'!$T$6:$T$68,$I46))</f>
        <v/>
      </c>
      <c r="S46" s="25" t="str">
        <f aca="false">IF(INDEX('TEa input'!$Y$6:$Y$68,$I46)="","",INDEX('TEa input'!$Y$6:$Y$68,$I46))</f>
        <v/>
      </c>
      <c r="T46" s="25" t="str">
        <f aca="false">IF(INDEX('TEa input'!$Z$6:$Z$68,$I46)="","",INDEX('TEa input'!$Z$6:$Z$68,$I46))</f>
        <v/>
      </c>
      <c r="U46" s="25" t="str">
        <f aca="false">IF(INDEX('TEa input'!$AA$6:$AA$68,$I46)="","",INDEX('TEa input'!$AA$6:$AA$68,$I46))</f>
        <v/>
      </c>
      <c r="V46" s="25" t="str">
        <f aca="false">IF(INDEX('TEa input'!$AB$6:$AB$68,$I46)="","",INDEX('TEa input'!$AB$6:$AB$68,$I46))</f>
        <v/>
      </c>
      <c r="W46" s="25" t="n">
        <f aca="false">IF(INDEX('TEa input'!$AC$6:$AC$68,$I46)="","",INDEX('TEa input'!$AC$6:$AC$68,$I46))</f>
        <v>37.88</v>
      </c>
      <c r="X46" s="25" t="str">
        <f aca="false">IF(INDEX('TEa input'!$AD$6:$AD$68,$I46)="","",INDEX('TEa input'!$AD$6:$AD$68,$I46))</f>
        <v/>
      </c>
      <c r="Y46" s="25" t="str">
        <f aca="false">IF(INDEX('TEa input'!$AF$6:$AF$68,$I46)="","",INDEX('TEa input'!$AF$6:$AF$68,$I46))</f>
        <v/>
      </c>
      <c r="AA46" s="26" t="n">
        <f aca="false">IF(OR(J46="",$E46="",N($E46)&lt;=0),"",(J46-ABS(N($F46)))/$E46)</f>
        <v>2.86115107913669</v>
      </c>
      <c r="AB46" s="26" t="str">
        <f aca="false">IF(OR(K46="",$E46="",N($E46)&lt;=0),"",(K46-ABS(N($F46)))/$E46)</f>
        <v/>
      </c>
      <c r="AC46" s="26" t="n">
        <f aca="false">IF(OR(L46="",$E46="",N($E46)&lt;=0),"",(L46-ABS(N($F46)))/$E46)</f>
        <v>2.62134292565947</v>
      </c>
      <c r="AD46" s="26" t="str">
        <f aca="false">IF(OR(M46="",$E46="",N($E46)&lt;=0),"",(M46-ABS(N($F46)))/$E46)</f>
        <v/>
      </c>
      <c r="AE46" s="26" t="n">
        <f aca="false">IF(OR(N46="",$E46="",N($E46)&lt;=0),"",(N46-ABS(N($F46)))/$E46)</f>
        <v>4.77961630695444</v>
      </c>
      <c r="AF46" s="26" t="str">
        <f aca="false">IF(OR(O46="",$E46="",N($E46)&lt;=0),"",(O46-ABS(N($F46)))/$E46)</f>
        <v/>
      </c>
      <c r="AG46" s="26" t="n">
        <f aca="false">IF(OR(P46="",$E46="",N($E46)&lt;=0),"",(P46-ABS(N($F46)))/$E46)</f>
        <v>5.73884892086331</v>
      </c>
      <c r="AH46" s="26" t="n">
        <f aca="false">IF(OR(Q46="",$E46="",N($E46)&lt;=0),"",(Q46-ABS(N($F46)))/$E46)</f>
        <v>3.41270983213429</v>
      </c>
      <c r="AI46" s="26" t="str">
        <f aca="false">IF(OR(R46="",$E46="",N($E46)&lt;=0),"",(R46-ABS(N($F46)))/$E46)</f>
        <v/>
      </c>
      <c r="AJ46" s="26" t="str">
        <f aca="false">IF(OR(S46="",$E46="",N($E46)&lt;=0),"",(S46-ABS(N($F46)))/$E46)</f>
        <v/>
      </c>
      <c r="AK46" s="26" t="str">
        <f aca="false">IF(OR(T46="",$E46="",N($E46)&lt;=0),"",(T46-ABS(N($F46)))/$E46)</f>
        <v/>
      </c>
      <c r="AL46" s="26" t="str">
        <f aca="false">IF(OR(U46="",$E46="",N($E46)&lt;=0),"",(U46-ABS(N($F46)))/$E46)</f>
        <v/>
      </c>
      <c r="AM46" s="26" t="str">
        <f aca="false">IF(OR(V46="",$E46="",N($E46)&lt;=0),"",(V46-ABS(N($F46)))/$E46)</f>
        <v/>
      </c>
      <c r="AN46" s="26" t="n">
        <f aca="false">IF(OR(W46="",$E46="",N($E46)&lt;=0),"",(W46-ABS(N($F46)))/$E46)</f>
        <v>9.0673860911271</v>
      </c>
      <c r="AO46" s="26" t="str">
        <f aca="false">IF(OR(X46="",$E46="",N($E46)&lt;=0),"",(X46-ABS(N($F46)))/$E46)</f>
        <v/>
      </c>
      <c r="AP46" s="26" t="str">
        <f aca="false">IF(OR(Y46="",$E46="",N($E46)&lt;=0),"",(Y46-ABS(N($F46)))/$E46)</f>
        <v/>
      </c>
    </row>
    <row r="47" customFormat="false" ht="15" hidden="false" customHeight="true" outlineLevel="0" collapsed="false">
      <c r="A47" s="9" t="s">
        <v>160</v>
      </c>
      <c r="B47" s="11" t="s">
        <v>329</v>
      </c>
      <c r="C47" s="11" t="s">
        <v>330</v>
      </c>
      <c r="D47" s="21" t="n">
        <v>152.686</v>
      </c>
      <c r="E47" s="22" t="n">
        <v>5.298</v>
      </c>
      <c r="F47" s="22" t="n">
        <v>0.215</v>
      </c>
      <c r="G47" s="23" t="n">
        <v>992</v>
      </c>
      <c r="H47" s="11" t="s">
        <v>340</v>
      </c>
      <c r="I47" s="24" t="n">
        <f aca="false">MATCH(A47,'TEa input'!$A$6:$A$68,0)</f>
        <v>21</v>
      </c>
      <c r="J47" s="25" t="n">
        <f aca="false">IF(INDEX('TEa input'!$E$6:$E$68,$I47)="","",INDEX('TEa input'!$E$6:$E$68,$I47))</f>
        <v>12</v>
      </c>
      <c r="K47" s="25" t="str">
        <f aca="false">IF(INDEX('TEa input'!$G$6:$G$68,$I47)="","",INDEX('TEa input'!$G$6:$G$68,$I47))</f>
        <v/>
      </c>
      <c r="L47" s="25" t="n">
        <f aca="false">IF(INDEX('TEa input'!$I$6:$I$68,$I47)="","",INDEX('TEa input'!$I$6:$I$68,$I47))</f>
        <v>11</v>
      </c>
      <c r="M47" s="25" t="str">
        <f aca="false">IF(INDEX('TEa input'!$K$6:$K$68,$I47)="","",INDEX('TEa input'!$K$6:$K$68,$I47))</f>
        <v/>
      </c>
      <c r="N47" s="25" t="n">
        <f aca="false">IF(INDEX('TEa input'!$M$6:$M$68,$I47)="","",INDEX('TEa input'!$M$6:$M$68,$I47))</f>
        <v>20</v>
      </c>
      <c r="O47" s="25" t="str">
        <f aca="false">IF(INDEX('TEa input'!$O$6:$O$68,$I47)="","",INDEX('TEa input'!$O$6:$O$68,$I47))</f>
        <v/>
      </c>
      <c r="P47" s="25" t="n">
        <f aca="false">IF(INDEX('TEa input'!$Q$6:$Q$68,$I47)="","",INDEX('TEa input'!$Q$6:$Q$68,$I47))</f>
        <v>24</v>
      </c>
      <c r="Q47" s="25" t="n">
        <f aca="false">IF(INDEX('TEa input'!$R$6:$R$68,$I47)="","",INDEX('TEa input'!$R$6:$R$68,$I47))</f>
        <v>14.3</v>
      </c>
      <c r="R47" s="25" t="str">
        <f aca="false">IF(INDEX('TEa input'!$T$6:$T$68,$I47)="","",INDEX('TEa input'!$T$6:$T$68,$I47))</f>
        <v/>
      </c>
      <c r="S47" s="25" t="str">
        <f aca="false">IF(INDEX('TEa input'!$Y$6:$Y$68,$I47)="","",INDEX('TEa input'!$Y$6:$Y$68,$I47))</f>
        <v/>
      </c>
      <c r="T47" s="25" t="str">
        <f aca="false">IF(INDEX('TEa input'!$Z$6:$Z$68,$I47)="","",INDEX('TEa input'!$Z$6:$Z$68,$I47))</f>
        <v/>
      </c>
      <c r="U47" s="25" t="str">
        <f aca="false">IF(INDEX('TEa input'!$AA$6:$AA$68,$I47)="","",INDEX('TEa input'!$AA$6:$AA$68,$I47))</f>
        <v/>
      </c>
      <c r="V47" s="25" t="str">
        <f aca="false">IF(INDEX('TEa input'!$AB$6:$AB$68,$I47)="","",INDEX('TEa input'!$AB$6:$AB$68,$I47))</f>
        <v/>
      </c>
      <c r="W47" s="25" t="n">
        <f aca="false">IF(INDEX('TEa input'!$AC$6:$AC$68,$I47)="","",INDEX('TEa input'!$AC$6:$AC$68,$I47))</f>
        <v>37.88</v>
      </c>
      <c r="X47" s="25" t="str">
        <f aca="false">IF(INDEX('TEa input'!$AD$6:$AD$68,$I47)="","",INDEX('TEa input'!$AD$6:$AD$68,$I47))</f>
        <v/>
      </c>
      <c r="Y47" s="25" t="str">
        <f aca="false">IF(INDEX('TEa input'!$AF$6:$AF$68,$I47)="","",INDEX('TEa input'!$AF$6:$AF$68,$I47))</f>
        <v/>
      </c>
      <c r="AA47" s="26" t="n">
        <f aca="false">IF(OR(J47="",$E47="",N($E47)&lt;=0),"",(J47-ABS(N($F47)))/$E47)</f>
        <v>2.22442431106078</v>
      </c>
      <c r="AB47" s="26" t="str">
        <f aca="false">IF(OR(K47="",$E47="",N($E47)&lt;=0),"",(K47-ABS(N($F47)))/$E47)</f>
        <v/>
      </c>
      <c r="AC47" s="26" t="n">
        <f aca="false">IF(OR(L47="",$E47="",N($E47)&lt;=0),"",(L47-ABS(N($F47)))/$E47)</f>
        <v>2.0356738391846</v>
      </c>
      <c r="AD47" s="26" t="str">
        <f aca="false">IF(OR(M47="",$E47="",N($E47)&lt;=0),"",(M47-ABS(N($F47)))/$E47)</f>
        <v/>
      </c>
      <c r="AE47" s="26" t="n">
        <f aca="false">IF(OR(N47="",$E47="",N($E47)&lt;=0),"",(N47-ABS(N($F47)))/$E47)</f>
        <v>3.73442808607022</v>
      </c>
      <c r="AF47" s="26" t="str">
        <f aca="false">IF(OR(O47="",$E47="",N($E47)&lt;=0),"",(O47-ABS(N($F47)))/$E47)</f>
        <v/>
      </c>
      <c r="AG47" s="26" t="n">
        <f aca="false">IF(OR(P47="",$E47="",N($E47)&lt;=0),"",(P47-ABS(N($F47)))/$E47)</f>
        <v>4.48942997357493</v>
      </c>
      <c r="AH47" s="26" t="n">
        <f aca="false">IF(OR(Q47="",$E47="",N($E47)&lt;=0),"",(Q47-ABS(N($F47)))/$E47)</f>
        <v>2.65855039637599</v>
      </c>
      <c r="AI47" s="26" t="str">
        <f aca="false">IF(OR(R47="",$E47="",N($E47)&lt;=0),"",(R47-ABS(N($F47)))/$E47)</f>
        <v/>
      </c>
      <c r="AJ47" s="26" t="str">
        <f aca="false">IF(OR(S47="",$E47="",N($E47)&lt;=0),"",(S47-ABS(N($F47)))/$E47)</f>
        <v/>
      </c>
      <c r="AK47" s="26" t="str">
        <f aca="false">IF(OR(T47="",$E47="",N($E47)&lt;=0),"",(T47-ABS(N($F47)))/$E47)</f>
        <v/>
      </c>
      <c r="AL47" s="26" t="str">
        <f aca="false">IF(OR(U47="",$E47="",N($E47)&lt;=0),"",(U47-ABS(N($F47)))/$E47)</f>
        <v/>
      </c>
      <c r="AM47" s="26" t="str">
        <f aca="false">IF(OR(V47="",$E47="",N($E47)&lt;=0),"",(V47-ABS(N($F47)))/$E47)</f>
        <v/>
      </c>
      <c r="AN47" s="26" t="n">
        <f aca="false">IF(OR(W47="",$E47="",N($E47)&lt;=0),"",(W47-ABS(N($F47)))/$E47)</f>
        <v>7.10928652321631</v>
      </c>
      <c r="AO47" s="26" t="str">
        <f aca="false">IF(OR(X47="",$E47="",N($E47)&lt;=0),"",(X47-ABS(N($F47)))/$E47)</f>
        <v/>
      </c>
      <c r="AP47" s="26" t="str">
        <f aca="false">IF(OR(Y47="",$E47="",N($E47)&lt;=0),"",(Y47-ABS(N($F47)))/$E47)</f>
        <v/>
      </c>
    </row>
    <row r="48" customFormat="false" ht="15" hidden="false" customHeight="true" outlineLevel="0" collapsed="false">
      <c r="A48" s="9" t="s">
        <v>163</v>
      </c>
      <c r="B48" s="11" t="s">
        <v>326</v>
      </c>
      <c r="C48" s="11" t="s">
        <v>327</v>
      </c>
      <c r="D48" s="21" t="n">
        <v>17.0339</v>
      </c>
      <c r="E48" s="22" t="n">
        <v>8.389</v>
      </c>
      <c r="F48" s="22" t="n">
        <v>1.968</v>
      </c>
      <c r="G48" s="23" t="n">
        <v>986</v>
      </c>
      <c r="H48" s="11" t="s">
        <v>333</v>
      </c>
      <c r="I48" s="24" t="n">
        <f aca="false">MATCH(A48,'TEa input'!$A$6:$A$68,0)</f>
        <v>22</v>
      </c>
      <c r="J48" s="25" t="n">
        <f aca="false">IF(INDEX('TEa input'!$E$6:$E$68,$I48)="","",INDEX('TEa input'!$E$6:$E$68,$I48))</f>
        <v>12</v>
      </c>
      <c r="K48" s="25" t="n">
        <f aca="false">IF(INDEX('TEa input'!$G$6:$G$68,$I48)="","",INDEX('TEa input'!$G$6:$G$68,$I48))</f>
        <v>20</v>
      </c>
      <c r="L48" s="25" t="n">
        <f aca="false">IF(INDEX('TEa input'!$I$6:$I$68,$I48)="","",INDEX('TEa input'!$I$6:$I$68,$I48))</f>
        <v>13</v>
      </c>
      <c r="M48" s="25" t="str">
        <f aca="false">IF(INDEX('TEa input'!$K$6:$K$68,$I48)="","",INDEX('TEa input'!$K$6:$K$68,$I48))</f>
        <v/>
      </c>
      <c r="N48" s="25" t="n">
        <f aca="false">IF(INDEX('TEa input'!$M$6:$M$68,$I48)="","",INDEX('TEa input'!$M$6:$M$68,$I48))</f>
        <v>12</v>
      </c>
      <c r="O48" s="25" t="n">
        <f aca="false">IF(INDEX('TEa input'!$O$6:$O$68,$I48)="","",INDEX('TEa input'!$O$6:$O$68,$I48))</f>
        <v>15</v>
      </c>
      <c r="P48" s="25" t="n">
        <f aca="false">IF(INDEX('TEa input'!$Q$6:$Q$68,$I48)="","",INDEX('TEa input'!$Q$6:$Q$68,$I48))</f>
        <v>21</v>
      </c>
      <c r="Q48" s="25" t="n">
        <f aca="false">IF(INDEX('TEa input'!$R$6:$R$68,$I48)="","",INDEX('TEa input'!$R$6:$R$68,$I48))</f>
        <v>12</v>
      </c>
      <c r="R48" s="25" t="n">
        <f aca="false">IF(INDEX('TEa input'!$T$6:$T$68,$I48)="","",INDEX('TEa input'!$T$6:$T$68,$I48))</f>
        <v>20</v>
      </c>
      <c r="S48" s="25" t="str">
        <f aca="false">IF(INDEX('TEa input'!$Y$6:$Y$68,$I48)="","",INDEX('TEa input'!$Y$6:$Y$68,$I48))</f>
        <v/>
      </c>
      <c r="T48" s="25" t="str">
        <f aca="false">IF(INDEX('TEa input'!$Z$6:$Z$68,$I48)="","",INDEX('TEa input'!$Z$6:$Z$68,$I48))</f>
        <v/>
      </c>
      <c r="U48" s="25" t="str">
        <f aca="false">IF(INDEX('TEa input'!$AA$6:$AA$68,$I48)="","",INDEX('TEa input'!$AA$6:$AA$68,$I48))</f>
        <v/>
      </c>
      <c r="V48" s="25" t="str">
        <f aca="false">IF(INDEX('TEa input'!$AB$6:$AB$68,$I48)="","",INDEX('TEa input'!$AB$6:$AB$68,$I48))</f>
        <v/>
      </c>
      <c r="W48" s="25" t="n">
        <f aca="false">IF(INDEX('TEa input'!$AC$6:$AC$68,$I48)="","",INDEX('TEa input'!$AC$6:$AC$68,$I48))</f>
        <v>26.94</v>
      </c>
      <c r="X48" s="25" t="str">
        <f aca="false">IF(INDEX('TEa input'!$AD$6:$AD$68,$I48)="","",INDEX('TEa input'!$AD$6:$AD$68,$I48))</f>
        <v/>
      </c>
      <c r="Y48" s="25" t="str">
        <f aca="false">IF(INDEX('TEa input'!$AF$6:$AF$68,$I48)="","",INDEX('TEa input'!$AF$6:$AF$68,$I48))</f>
        <v/>
      </c>
      <c r="AA48" s="26" t="n">
        <f aca="false">IF(OR(J48="",$E48="",N($E48)&lt;=0),"",(J48-ABS(N($F48)))/$E48)</f>
        <v>1.19585171057337</v>
      </c>
      <c r="AB48" s="26" t="n">
        <f aca="false">IF(OR(K48="",$E48="",N($E48)&lt;=0),"",(K48-ABS(N($F48)))/$E48)</f>
        <v>2.14948146382167</v>
      </c>
      <c r="AC48" s="26" t="n">
        <f aca="false">IF(OR(L48="",$E48="",N($E48)&lt;=0),"",(L48-ABS(N($F48)))/$E48)</f>
        <v>1.31505542972941</v>
      </c>
      <c r="AD48" s="26" t="str">
        <f aca="false">IF(OR(M48="",$E48="",N($E48)&lt;=0),"",(M48-ABS(N($F48)))/$E48)</f>
        <v/>
      </c>
      <c r="AE48" s="26" t="n">
        <f aca="false">IF(OR(N48="",$E48="",N($E48)&lt;=0),"",(N48-ABS(N($F48)))/$E48)</f>
        <v>1.19585171057337</v>
      </c>
      <c r="AF48" s="26" t="n">
        <f aca="false">IF(OR(O48="",$E48="",N($E48)&lt;=0),"",(O48-ABS(N($F48)))/$E48)</f>
        <v>1.55346286804148</v>
      </c>
      <c r="AG48" s="26" t="n">
        <f aca="false">IF(OR(P48="",$E48="",N($E48)&lt;=0),"",(P48-ABS(N($F48)))/$E48)</f>
        <v>2.26868518297771</v>
      </c>
      <c r="AH48" s="26" t="n">
        <f aca="false">IF(OR(Q48="",$E48="",N($E48)&lt;=0),"",(Q48-ABS(N($F48)))/$E48)</f>
        <v>1.19585171057337</v>
      </c>
      <c r="AI48" s="26" t="n">
        <f aca="false">IF(OR(R48="",$E48="",N($E48)&lt;=0),"",(R48-ABS(N($F48)))/$E48)</f>
        <v>2.14948146382167</v>
      </c>
      <c r="AJ48" s="26" t="str">
        <f aca="false">IF(OR(S48="",$E48="",N($E48)&lt;=0),"",(S48-ABS(N($F48)))/$E48)</f>
        <v/>
      </c>
      <c r="AK48" s="26" t="str">
        <f aca="false">IF(OR(T48="",$E48="",N($E48)&lt;=0),"",(T48-ABS(N($F48)))/$E48)</f>
        <v/>
      </c>
      <c r="AL48" s="26" t="str">
        <f aca="false">IF(OR(U48="",$E48="",N($E48)&lt;=0),"",(U48-ABS(N($F48)))/$E48)</f>
        <v/>
      </c>
      <c r="AM48" s="26" t="str">
        <f aca="false">IF(OR(V48="",$E48="",N($E48)&lt;=0),"",(V48-ABS(N($F48)))/$E48)</f>
        <v/>
      </c>
      <c r="AN48" s="26" t="n">
        <f aca="false">IF(OR(W48="",$E48="",N($E48)&lt;=0),"",(W48-ABS(N($F48)))/$E48)</f>
        <v>2.97675527476457</v>
      </c>
      <c r="AO48" s="26" t="str">
        <f aca="false">IF(OR(X48="",$E48="",N($E48)&lt;=0),"",(X48-ABS(N($F48)))/$E48)</f>
        <v/>
      </c>
      <c r="AP48" s="26" t="str">
        <f aca="false">IF(OR(Y48="",$E48="",N($E48)&lt;=0),"",(Y48-ABS(N($F48)))/$E48)</f>
        <v/>
      </c>
    </row>
    <row r="49" customFormat="false" ht="15" hidden="false" customHeight="true" outlineLevel="0" collapsed="false">
      <c r="A49" s="9" t="s">
        <v>163</v>
      </c>
      <c r="B49" s="11" t="s">
        <v>329</v>
      </c>
      <c r="C49" s="11" t="s">
        <v>330</v>
      </c>
      <c r="D49" s="21" t="n">
        <v>96.7107</v>
      </c>
      <c r="E49" s="22" t="n">
        <v>4.642</v>
      </c>
      <c r="F49" s="22" t="n">
        <v>0.946</v>
      </c>
      <c r="G49" s="23" t="n">
        <v>984</v>
      </c>
      <c r="H49" s="11" t="s">
        <v>333</v>
      </c>
      <c r="I49" s="24" t="n">
        <f aca="false">MATCH(A49,'TEa input'!$A$6:$A$68,0)</f>
        <v>22</v>
      </c>
      <c r="J49" s="25" t="n">
        <f aca="false">IF(INDEX('TEa input'!$E$6:$E$68,$I49)="","",INDEX('TEa input'!$E$6:$E$68,$I49))</f>
        <v>12</v>
      </c>
      <c r="K49" s="25" t="n">
        <f aca="false">IF(INDEX('TEa input'!$G$6:$G$68,$I49)="","",INDEX('TEa input'!$G$6:$G$68,$I49))</f>
        <v>20</v>
      </c>
      <c r="L49" s="25" t="n">
        <f aca="false">IF(INDEX('TEa input'!$I$6:$I$68,$I49)="","",INDEX('TEa input'!$I$6:$I$68,$I49))</f>
        <v>13</v>
      </c>
      <c r="M49" s="25" t="str">
        <f aca="false">IF(INDEX('TEa input'!$K$6:$K$68,$I49)="","",INDEX('TEa input'!$K$6:$K$68,$I49))</f>
        <v/>
      </c>
      <c r="N49" s="25" t="n">
        <f aca="false">IF(INDEX('TEa input'!$M$6:$M$68,$I49)="","",INDEX('TEa input'!$M$6:$M$68,$I49))</f>
        <v>12</v>
      </c>
      <c r="O49" s="25" t="n">
        <f aca="false">IF(INDEX('TEa input'!$O$6:$O$68,$I49)="","",INDEX('TEa input'!$O$6:$O$68,$I49))</f>
        <v>15</v>
      </c>
      <c r="P49" s="25" t="n">
        <f aca="false">IF(INDEX('TEa input'!$Q$6:$Q$68,$I49)="","",INDEX('TEa input'!$Q$6:$Q$68,$I49))</f>
        <v>21</v>
      </c>
      <c r="Q49" s="25" t="n">
        <f aca="false">IF(INDEX('TEa input'!$R$6:$R$68,$I49)="","",INDEX('TEa input'!$R$6:$R$68,$I49))</f>
        <v>12</v>
      </c>
      <c r="R49" s="25" t="n">
        <f aca="false">IF(INDEX('TEa input'!$T$6:$T$68,$I49)="","",INDEX('TEa input'!$T$6:$T$68,$I49))</f>
        <v>20</v>
      </c>
      <c r="S49" s="25" t="str">
        <f aca="false">IF(INDEX('TEa input'!$Y$6:$Y$68,$I49)="","",INDEX('TEa input'!$Y$6:$Y$68,$I49))</f>
        <v/>
      </c>
      <c r="T49" s="25" t="str">
        <f aca="false">IF(INDEX('TEa input'!$Z$6:$Z$68,$I49)="","",INDEX('TEa input'!$Z$6:$Z$68,$I49))</f>
        <v/>
      </c>
      <c r="U49" s="25" t="str">
        <f aca="false">IF(INDEX('TEa input'!$AA$6:$AA$68,$I49)="","",INDEX('TEa input'!$AA$6:$AA$68,$I49))</f>
        <v/>
      </c>
      <c r="V49" s="25" t="str">
        <f aca="false">IF(INDEX('TEa input'!$AB$6:$AB$68,$I49)="","",INDEX('TEa input'!$AB$6:$AB$68,$I49))</f>
        <v/>
      </c>
      <c r="W49" s="25" t="n">
        <f aca="false">IF(INDEX('TEa input'!$AC$6:$AC$68,$I49)="","",INDEX('TEa input'!$AC$6:$AC$68,$I49))</f>
        <v>26.94</v>
      </c>
      <c r="X49" s="25" t="str">
        <f aca="false">IF(INDEX('TEa input'!$AD$6:$AD$68,$I49)="","",INDEX('TEa input'!$AD$6:$AD$68,$I49))</f>
        <v/>
      </c>
      <c r="Y49" s="25" t="str">
        <f aca="false">IF(INDEX('TEa input'!$AF$6:$AF$68,$I49)="","",INDEX('TEa input'!$AF$6:$AF$68,$I49))</f>
        <v/>
      </c>
      <c r="AA49" s="26" t="n">
        <f aca="false">IF(OR(J49="",$E49="",N($E49)&lt;=0),"",(J49-ABS(N($F49)))/$E49)</f>
        <v>2.38130116329168</v>
      </c>
      <c r="AB49" s="26" t="n">
        <f aca="false">IF(OR(K49="",$E49="",N($E49)&lt;=0),"",(K49-ABS(N($F49)))/$E49)</f>
        <v>4.10469625161568</v>
      </c>
      <c r="AC49" s="26" t="n">
        <f aca="false">IF(OR(L49="",$E49="",N($E49)&lt;=0),"",(L49-ABS(N($F49)))/$E49)</f>
        <v>2.59672554933218</v>
      </c>
      <c r="AD49" s="26" t="str">
        <f aca="false">IF(OR(M49="",$E49="",N($E49)&lt;=0),"",(M49-ABS(N($F49)))/$E49)</f>
        <v/>
      </c>
      <c r="AE49" s="26" t="n">
        <f aca="false">IF(OR(N49="",$E49="",N($E49)&lt;=0),"",(N49-ABS(N($F49)))/$E49)</f>
        <v>2.38130116329168</v>
      </c>
      <c r="AF49" s="26" t="n">
        <f aca="false">IF(OR(O49="",$E49="",N($E49)&lt;=0),"",(O49-ABS(N($F49)))/$E49)</f>
        <v>3.02757432141318</v>
      </c>
      <c r="AG49" s="26" t="n">
        <f aca="false">IF(OR(P49="",$E49="",N($E49)&lt;=0),"",(P49-ABS(N($F49)))/$E49)</f>
        <v>4.32012063765618</v>
      </c>
      <c r="AH49" s="26" t="n">
        <f aca="false">IF(OR(Q49="",$E49="",N($E49)&lt;=0),"",(Q49-ABS(N($F49)))/$E49)</f>
        <v>2.38130116329168</v>
      </c>
      <c r="AI49" s="26" t="n">
        <f aca="false">IF(OR(R49="",$E49="",N($E49)&lt;=0),"",(R49-ABS(N($F49)))/$E49)</f>
        <v>4.10469625161568</v>
      </c>
      <c r="AJ49" s="26" t="str">
        <f aca="false">IF(OR(S49="",$E49="",N($E49)&lt;=0),"",(S49-ABS(N($F49)))/$E49)</f>
        <v/>
      </c>
      <c r="AK49" s="26" t="str">
        <f aca="false">IF(OR(T49="",$E49="",N($E49)&lt;=0),"",(T49-ABS(N($F49)))/$E49)</f>
        <v/>
      </c>
      <c r="AL49" s="26" t="str">
        <f aca="false">IF(OR(U49="",$E49="",N($E49)&lt;=0),"",(U49-ABS(N($F49)))/$E49)</f>
        <v/>
      </c>
      <c r="AM49" s="26" t="str">
        <f aca="false">IF(OR(V49="",$E49="",N($E49)&lt;=0),"",(V49-ABS(N($F49)))/$E49)</f>
        <v/>
      </c>
      <c r="AN49" s="26" t="n">
        <f aca="false">IF(OR(W49="",$E49="",N($E49)&lt;=0),"",(W49-ABS(N($F49)))/$E49)</f>
        <v>5.59974149073675</v>
      </c>
      <c r="AO49" s="26" t="str">
        <f aca="false">IF(OR(X49="",$E49="",N($E49)&lt;=0),"",(X49-ABS(N($F49)))/$E49)</f>
        <v/>
      </c>
      <c r="AP49" s="26" t="str">
        <f aca="false">IF(OR(Y49="",$E49="",N($E49)&lt;=0),"",(Y49-ABS(N($F49)))/$E49)</f>
        <v/>
      </c>
    </row>
    <row r="50" customFormat="false" ht="15" hidden="false" customHeight="true" outlineLevel="0" collapsed="false">
      <c r="A50" s="9" t="s">
        <v>163</v>
      </c>
      <c r="B50" s="11" t="s">
        <v>341</v>
      </c>
      <c r="C50" s="11" t="s">
        <v>342</v>
      </c>
      <c r="D50" s="21" t="n">
        <v>334.13</v>
      </c>
      <c r="E50" s="22" t="n">
        <v>3.867</v>
      </c>
      <c r="F50" s="22" t="n">
        <v>1.103</v>
      </c>
      <c r="G50" s="23" t="n">
        <v>920</v>
      </c>
      <c r="H50" s="11" t="s">
        <v>333</v>
      </c>
      <c r="I50" s="24" t="n">
        <f aca="false">MATCH(A50,'TEa input'!$A$6:$A$68,0)</f>
        <v>22</v>
      </c>
      <c r="J50" s="25" t="n">
        <f aca="false">IF(INDEX('TEa input'!$E$6:$E$68,$I50)="","",INDEX('TEa input'!$E$6:$E$68,$I50))</f>
        <v>12</v>
      </c>
      <c r="K50" s="25" t="n">
        <f aca="false">IF(INDEX('TEa input'!$G$6:$G$68,$I50)="","",INDEX('TEa input'!$G$6:$G$68,$I50))</f>
        <v>20</v>
      </c>
      <c r="L50" s="25" t="n">
        <f aca="false">IF(INDEX('TEa input'!$I$6:$I$68,$I50)="","",INDEX('TEa input'!$I$6:$I$68,$I50))</f>
        <v>13</v>
      </c>
      <c r="M50" s="25" t="str">
        <f aca="false">IF(INDEX('TEa input'!$K$6:$K$68,$I50)="","",INDEX('TEa input'!$K$6:$K$68,$I50))</f>
        <v/>
      </c>
      <c r="N50" s="25" t="n">
        <f aca="false">IF(INDEX('TEa input'!$M$6:$M$68,$I50)="","",INDEX('TEa input'!$M$6:$M$68,$I50))</f>
        <v>12</v>
      </c>
      <c r="O50" s="25" t="n">
        <f aca="false">IF(INDEX('TEa input'!$O$6:$O$68,$I50)="","",INDEX('TEa input'!$O$6:$O$68,$I50))</f>
        <v>15</v>
      </c>
      <c r="P50" s="25" t="n">
        <f aca="false">IF(INDEX('TEa input'!$Q$6:$Q$68,$I50)="","",INDEX('TEa input'!$Q$6:$Q$68,$I50))</f>
        <v>21</v>
      </c>
      <c r="Q50" s="25" t="n">
        <f aca="false">IF(INDEX('TEa input'!$R$6:$R$68,$I50)="","",INDEX('TEa input'!$R$6:$R$68,$I50))</f>
        <v>12</v>
      </c>
      <c r="R50" s="25" t="n">
        <f aca="false">IF(INDEX('TEa input'!$T$6:$T$68,$I50)="","",INDEX('TEa input'!$T$6:$T$68,$I50))</f>
        <v>20</v>
      </c>
      <c r="S50" s="25" t="str">
        <f aca="false">IF(INDEX('TEa input'!$Y$6:$Y$68,$I50)="","",INDEX('TEa input'!$Y$6:$Y$68,$I50))</f>
        <v/>
      </c>
      <c r="T50" s="25" t="str">
        <f aca="false">IF(INDEX('TEa input'!$Z$6:$Z$68,$I50)="","",INDEX('TEa input'!$Z$6:$Z$68,$I50))</f>
        <v/>
      </c>
      <c r="U50" s="25" t="str">
        <f aca="false">IF(INDEX('TEa input'!$AA$6:$AA$68,$I50)="","",INDEX('TEa input'!$AA$6:$AA$68,$I50))</f>
        <v/>
      </c>
      <c r="V50" s="25" t="str">
        <f aca="false">IF(INDEX('TEa input'!$AB$6:$AB$68,$I50)="","",INDEX('TEa input'!$AB$6:$AB$68,$I50))</f>
        <v/>
      </c>
      <c r="W50" s="25" t="n">
        <f aca="false">IF(INDEX('TEa input'!$AC$6:$AC$68,$I50)="","",INDEX('TEa input'!$AC$6:$AC$68,$I50))</f>
        <v>26.94</v>
      </c>
      <c r="X50" s="25" t="str">
        <f aca="false">IF(INDEX('TEa input'!$AD$6:$AD$68,$I50)="","",INDEX('TEa input'!$AD$6:$AD$68,$I50))</f>
        <v/>
      </c>
      <c r="Y50" s="25" t="str">
        <f aca="false">IF(INDEX('TEa input'!$AF$6:$AF$68,$I50)="","",INDEX('TEa input'!$AF$6:$AF$68,$I50))</f>
        <v/>
      </c>
      <c r="AA50" s="26" t="n">
        <f aca="false">IF(OR(J50="",$E50="",N($E50)&lt;=0),"",(J50-ABS(N($F50)))/$E50)</f>
        <v>2.81794672873028</v>
      </c>
      <c r="AB50" s="26" t="n">
        <f aca="false">IF(OR(K50="",$E50="",N($E50)&lt;=0),"",(K50-ABS(N($F50)))/$E50)</f>
        <v>4.88673390224981</v>
      </c>
      <c r="AC50" s="26" t="n">
        <f aca="false">IF(OR(L50="",$E50="",N($E50)&lt;=0),"",(L50-ABS(N($F50)))/$E50)</f>
        <v>3.07654512542022</v>
      </c>
      <c r="AD50" s="26" t="str">
        <f aca="false">IF(OR(M50="",$E50="",N($E50)&lt;=0),"",(M50-ABS(N($F50)))/$E50)</f>
        <v/>
      </c>
      <c r="AE50" s="26" t="n">
        <f aca="false">IF(OR(N50="",$E50="",N($E50)&lt;=0),"",(N50-ABS(N($F50)))/$E50)</f>
        <v>2.81794672873028</v>
      </c>
      <c r="AF50" s="26" t="n">
        <f aca="false">IF(OR(O50="",$E50="",N($E50)&lt;=0),"",(O50-ABS(N($F50)))/$E50)</f>
        <v>3.5937419188001</v>
      </c>
      <c r="AG50" s="26" t="n">
        <f aca="false">IF(OR(P50="",$E50="",N($E50)&lt;=0),"",(P50-ABS(N($F50)))/$E50)</f>
        <v>5.14533229893975</v>
      </c>
      <c r="AH50" s="26" t="n">
        <f aca="false">IF(OR(Q50="",$E50="",N($E50)&lt;=0),"",(Q50-ABS(N($F50)))/$E50)</f>
        <v>2.81794672873028</v>
      </c>
      <c r="AI50" s="26" t="n">
        <f aca="false">IF(OR(R50="",$E50="",N($E50)&lt;=0),"",(R50-ABS(N($F50)))/$E50)</f>
        <v>4.88673390224981</v>
      </c>
      <c r="AJ50" s="26" t="str">
        <f aca="false">IF(OR(S50="",$E50="",N($E50)&lt;=0),"",(S50-ABS(N($F50)))/$E50)</f>
        <v/>
      </c>
      <c r="AK50" s="26" t="str">
        <f aca="false">IF(OR(T50="",$E50="",N($E50)&lt;=0),"",(T50-ABS(N($F50)))/$E50)</f>
        <v/>
      </c>
      <c r="AL50" s="26" t="str">
        <f aca="false">IF(OR(U50="",$E50="",N($E50)&lt;=0),"",(U50-ABS(N($F50)))/$E50)</f>
        <v/>
      </c>
      <c r="AM50" s="26" t="str">
        <f aca="false">IF(OR(V50="",$E50="",N($E50)&lt;=0),"",(V50-ABS(N($F50)))/$E50)</f>
        <v/>
      </c>
      <c r="AN50" s="26" t="n">
        <f aca="false">IF(OR(W50="",$E50="",N($E50)&lt;=0),"",(W50-ABS(N($F50)))/$E50)</f>
        <v>6.68140677527799</v>
      </c>
      <c r="AO50" s="26" t="str">
        <f aca="false">IF(OR(X50="",$E50="",N($E50)&lt;=0),"",(X50-ABS(N($F50)))/$E50)</f>
        <v/>
      </c>
      <c r="AP50" s="26" t="str">
        <f aca="false">IF(OR(Y50="",$E50="",N($E50)&lt;=0),"",(Y50-ABS(N($F50)))/$E50)</f>
        <v/>
      </c>
    </row>
    <row r="51" customFormat="false" ht="15" hidden="false" customHeight="true" outlineLevel="0" collapsed="false">
      <c r="A51" s="9" t="s">
        <v>169</v>
      </c>
      <c r="B51" s="11" t="s">
        <v>326</v>
      </c>
      <c r="C51" s="11" t="s">
        <v>327</v>
      </c>
      <c r="D51" s="21" t="n">
        <v>31.4612</v>
      </c>
      <c r="E51" s="22" t="n">
        <v>2.256</v>
      </c>
      <c r="F51" s="22" t="n">
        <v>0.879</v>
      </c>
      <c r="G51" s="23" t="n">
        <v>1075</v>
      </c>
      <c r="H51" s="11" t="s">
        <v>340</v>
      </c>
      <c r="I51" s="24" t="n">
        <f aca="false">MATCH(A51,'TEa input'!$A$6:$A$68,0)</f>
        <v>23</v>
      </c>
      <c r="J51" s="25" t="n">
        <f aca="false">IF(INDEX('TEa input'!$E$6:$E$68,$I51)="","",INDEX('TEa input'!$E$6:$E$68,$I51))</f>
        <v>5</v>
      </c>
      <c r="K51" s="25" t="n">
        <f aca="false">IF(INDEX('TEa input'!$G$6:$G$68,$I51)="","",INDEX('TEa input'!$G$6:$G$68,$I51))</f>
        <v>8</v>
      </c>
      <c r="L51" s="25" t="n">
        <f aca="false">IF(INDEX('TEa input'!$I$6:$I$68,$I51)="","",INDEX('TEa input'!$I$6:$I$68,$I51))</f>
        <v>12.5</v>
      </c>
      <c r="M51" s="25" t="str">
        <f aca="false">IF(INDEX('TEa input'!$K$6:$K$68,$I51)="","",INDEX('TEa input'!$K$6:$K$68,$I51))</f>
        <v/>
      </c>
      <c r="N51" s="25" t="n">
        <f aca="false">IF(INDEX('TEa input'!$M$6:$M$68,$I51)="","",INDEX('TEa input'!$M$6:$M$68,$I51))</f>
        <v>6</v>
      </c>
      <c r="O51" s="25" t="n">
        <f aca="false">IF(INDEX('TEa input'!$O$6:$O$68,$I51)="","",INDEX('TEa input'!$O$6:$O$68,$I51))</f>
        <v>6</v>
      </c>
      <c r="P51" s="25" t="n">
        <f aca="false">IF(INDEX('TEa input'!$Q$6:$Q$68,$I51)="","",INDEX('TEa input'!$Q$6:$Q$68,$I51))</f>
        <v>12</v>
      </c>
      <c r="Q51" s="25" t="n">
        <f aca="false">IF(INDEX('TEa input'!$R$6:$R$68,$I51)="","",INDEX('TEa input'!$R$6:$R$68,$I51))</f>
        <v>10.7</v>
      </c>
      <c r="R51" s="25" t="n">
        <f aca="false">IF(INDEX('TEa input'!$T$6:$T$68,$I51)="","",INDEX('TEa input'!$T$6:$T$68,$I51))</f>
        <v>15</v>
      </c>
      <c r="S51" s="25" t="str">
        <f aca="false">IF(INDEX('TEa input'!$Y$6:$Y$68,$I51)="","",INDEX('TEa input'!$Y$6:$Y$68,$I51))</f>
        <v/>
      </c>
      <c r="T51" s="25" t="str">
        <f aca="false">IF(INDEX('TEa input'!$Z$6:$Z$68,$I51)="","",INDEX('TEa input'!$Z$6:$Z$68,$I51))</f>
        <v/>
      </c>
      <c r="U51" s="25" t="str">
        <f aca="false">IF(INDEX('TEa input'!$AA$6:$AA$68,$I51)="","",INDEX('TEa input'!$AA$6:$AA$68,$I51))</f>
        <v/>
      </c>
      <c r="V51" s="25" t="str">
        <f aca="false">IF(INDEX('TEa input'!$AB$6:$AB$68,$I51)="","",INDEX('TEa input'!$AB$6:$AB$68,$I51))</f>
        <v/>
      </c>
      <c r="W51" s="25" t="n">
        <f aca="false">IF(INDEX('TEa input'!$AC$6:$AC$68,$I51)="","",INDEX('TEa input'!$AC$6:$AC$68,$I51))</f>
        <v>4.07</v>
      </c>
      <c r="X51" s="25" t="str">
        <f aca="false">IF(INDEX('TEa input'!$AD$6:$AD$68,$I51)="","",INDEX('TEa input'!$AD$6:$AD$68,$I51))</f>
        <v/>
      </c>
      <c r="Y51" s="25" t="str">
        <f aca="false">IF(INDEX('TEa input'!$AF$6:$AF$68,$I51)="","",INDEX('TEa input'!$AF$6:$AF$68,$I51))</f>
        <v/>
      </c>
      <c r="AA51" s="26" t="n">
        <f aca="false">IF(OR(J51="",$E51="",N($E51)&lt;=0),"",(J51-ABS(N($F51)))/$E51)</f>
        <v>1.82668439716312</v>
      </c>
      <c r="AB51" s="26" t="n">
        <f aca="false">IF(OR(K51="",$E51="",N($E51)&lt;=0),"",(K51-ABS(N($F51)))/$E51)</f>
        <v>3.15647163120567</v>
      </c>
      <c r="AC51" s="26" t="n">
        <f aca="false">IF(OR(L51="",$E51="",N($E51)&lt;=0),"",(L51-ABS(N($F51)))/$E51)</f>
        <v>5.1511524822695</v>
      </c>
      <c r="AD51" s="26" t="str">
        <f aca="false">IF(OR(M51="",$E51="",N($E51)&lt;=0),"",(M51-ABS(N($F51)))/$E51)</f>
        <v/>
      </c>
      <c r="AE51" s="26" t="n">
        <f aca="false">IF(OR(N51="",$E51="",N($E51)&lt;=0),"",(N51-ABS(N($F51)))/$E51)</f>
        <v>2.26994680851064</v>
      </c>
      <c r="AF51" s="26" t="n">
        <f aca="false">IF(OR(O51="",$E51="",N($E51)&lt;=0),"",(O51-ABS(N($F51)))/$E51)</f>
        <v>2.26994680851064</v>
      </c>
      <c r="AG51" s="26" t="n">
        <f aca="false">IF(OR(P51="",$E51="",N($E51)&lt;=0),"",(P51-ABS(N($F51)))/$E51)</f>
        <v>4.92952127659575</v>
      </c>
      <c r="AH51" s="26" t="n">
        <f aca="false">IF(OR(Q51="",$E51="",N($E51)&lt;=0),"",(Q51-ABS(N($F51)))/$E51)</f>
        <v>4.35328014184397</v>
      </c>
      <c r="AI51" s="26" t="n">
        <f aca="false">IF(OR(R51="",$E51="",N($E51)&lt;=0),"",(R51-ABS(N($F51)))/$E51)</f>
        <v>6.2593085106383</v>
      </c>
      <c r="AJ51" s="26" t="str">
        <f aca="false">IF(OR(S51="",$E51="",N($E51)&lt;=0),"",(S51-ABS(N($F51)))/$E51)</f>
        <v/>
      </c>
      <c r="AK51" s="26" t="str">
        <f aca="false">IF(OR(T51="",$E51="",N($E51)&lt;=0),"",(T51-ABS(N($F51)))/$E51)</f>
        <v/>
      </c>
      <c r="AL51" s="26" t="str">
        <f aca="false">IF(OR(U51="",$E51="",N($E51)&lt;=0),"",(U51-ABS(N($F51)))/$E51)</f>
        <v/>
      </c>
      <c r="AM51" s="26" t="str">
        <f aca="false">IF(OR(V51="",$E51="",N($E51)&lt;=0),"",(V51-ABS(N($F51)))/$E51)</f>
        <v/>
      </c>
      <c r="AN51" s="26" t="n">
        <f aca="false">IF(OR(W51="",$E51="",N($E51)&lt;=0),"",(W51-ABS(N($F51)))/$E51)</f>
        <v>1.41445035460993</v>
      </c>
      <c r="AO51" s="26" t="str">
        <f aca="false">IF(OR(X51="",$E51="",N($E51)&lt;=0),"",(X51-ABS(N($F51)))/$E51)</f>
        <v/>
      </c>
      <c r="AP51" s="26" t="str">
        <f aca="false">IF(OR(Y51="",$E51="",N($E51)&lt;=0),"",(Y51-ABS(N($F51)))/$E51)</f>
        <v/>
      </c>
    </row>
    <row r="52" customFormat="false" ht="15" hidden="false" customHeight="true" outlineLevel="0" collapsed="false">
      <c r="A52" s="9" t="s">
        <v>169</v>
      </c>
      <c r="B52" s="11" t="s">
        <v>329</v>
      </c>
      <c r="C52" s="11" t="s">
        <v>330</v>
      </c>
      <c r="D52" s="21" t="n">
        <v>49.5071</v>
      </c>
      <c r="E52" s="22" t="n">
        <v>2.333</v>
      </c>
      <c r="F52" s="22" t="n">
        <v>0.884</v>
      </c>
      <c r="G52" s="23" t="n">
        <v>1074</v>
      </c>
      <c r="H52" s="11" t="s">
        <v>340</v>
      </c>
      <c r="I52" s="24" t="n">
        <f aca="false">MATCH(A52,'TEa input'!$A$6:$A$68,0)</f>
        <v>23</v>
      </c>
      <c r="J52" s="25" t="n">
        <f aca="false">IF(INDEX('TEa input'!$E$6:$E$68,$I52)="","",INDEX('TEa input'!$E$6:$E$68,$I52))</f>
        <v>5</v>
      </c>
      <c r="K52" s="25" t="n">
        <f aca="false">IF(INDEX('TEa input'!$G$6:$G$68,$I52)="","",INDEX('TEa input'!$G$6:$G$68,$I52))</f>
        <v>8</v>
      </c>
      <c r="L52" s="25" t="n">
        <f aca="false">IF(INDEX('TEa input'!$I$6:$I$68,$I52)="","",INDEX('TEa input'!$I$6:$I$68,$I52))</f>
        <v>12.5</v>
      </c>
      <c r="M52" s="25" t="str">
        <f aca="false">IF(INDEX('TEa input'!$K$6:$K$68,$I52)="","",INDEX('TEa input'!$K$6:$K$68,$I52))</f>
        <v/>
      </c>
      <c r="N52" s="25" t="n">
        <f aca="false">IF(INDEX('TEa input'!$M$6:$M$68,$I52)="","",INDEX('TEa input'!$M$6:$M$68,$I52))</f>
        <v>6</v>
      </c>
      <c r="O52" s="25" t="n">
        <f aca="false">IF(INDEX('TEa input'!$O$6:$O$68,$I52)="","",INDEX('TEa input'!$O$6:$O$68,$I52))</f>
        <v>6</v>
      </c>
      <c r="P52" s="25" t="n">
        <f aca="false">IF(INDEX('TEa input'!$Q$6:$Q$68,$I52)="","",INDEX('TEa input'!$Q$6:$Q$68,$I52))</f>
        <v>12</v>
      </c>
      <c r="Q52" s="25" t="n">
        <f aca="false">IF(INDEX('TEa input'!$R$6:$R$68,$I52)="","",INDEX('TEa input'!$R$6:$R$68,$I52))</f>
        <v>10.7</v>
      </c>
      <c r="R52" s="25" t="n">
        <f aca="false">IF(INDEX('TEa input'!$T$6:$T$68,$I52)="","",INDEX('TEa input'!$T$6:$T$68,$I52))</f>
        <v>15</v>
      </c>
      <c r="S52" s="25" t="str">
        <f aca="false">IF(INDEX('TEa input'!$Y$6:$Y$68,$I52)="","",INDEX('TEa input'!$Y$6:$Y$68,$I52))</f>
        <v/>
      </c>
      <c r="T52" s="25" t="str">
        <f aca="false">IF(INDEX('TEa input'!$Z$6:$Z$68,$I52)="","",INDEX('TEa input'!$Z$6:$Z$68,$I52))</f>
        <v/>
      </c>
      <c r="U52" s="25" t="str">
        <f aca="false">IF(INDEX('TEa input'!$AA$6:$AA$68,$I52)="","",INDEX('TEa input'!$AA$6:$AA$68,$I52))</f>
        <v/>
      </c>
      <c r="V52" s="25" t="str">
        <f aca="false">IF(INDEX('TEa input'!$AB$6:$AB$68,$I52)="","",INDEX('TEa input'!$AB$6:$AB$68,$I52))</f>
        <v/>
      </c>
      <c r="W52" s="25" t="n">
        <f aca="false">IF(INDEX('TEa input'!$AC$6:$AC$68,$I52)="","",INDEX('TEa input'!$AC$6:$AC$68,$I52))</f>
        <v>4.07</v>
      </c>
      <c r="X52" s="25" t="str">
        <f aca="false">IF(INDEX('TEa input'!$AD$6:$AD$68,$I52)="","",INDEX('TEa input'!$AD$6:$AD$68,$I52))</f>
        <v/>
      </c>
      <c r="Y52" s="25" t="str">
        <f aca="false">IF(INDEX('TEa input'!$AF$6:$AF$68,$I52)="","",INDEX('TEa input'!$AF$6:$AF$68,$I52))</f>
        <v/>
      </c>
      <c r="AA52" s="26" t="n">
        <f aca="false">IF(OR(J52="",$E52="",N($E52)&lt;=0),"",(J52-ABS(N($F52)))/$E52)</f>
        <v>1.76425203600514</v>
      </c>
      <c r="AB52" s="26" t="n">
        <f aca="false">IF(OR(K52="",$E52="",N($E52)&lt;=0),"",(K52-ABS(N($F52)))/$E52)</f>
        <v>3.05015002143163</v>
      </c>
      <c r="AC52" s="26" t="n">
        <f aca="false">IF(OR(L52="",$E52="",N($E52)&lt;=0),"",(L52-ABS(N($F52)))/$E52)</f>
        <v>4.97899699957137</v>
      </c>
      <c r="AD52" s="26" t="str">
        <f aca="false">IF(OR(M52="",$E52="",N($E52)&lt;=0),"",(M52-ABS(N($F52)))/$E52)</f>
        <v/>
      </c>
      <c r="AE52" s="26" t="n">
        <f aca="false">IF(OR(N52="",$E52="",N($E52)&lt;=0),"",(N52-ABS(N($F52)))/$E52)</f>
        <v>2.19288469781397</v>
      </c>
      <c r="AF52" s="26" t="n">
        <f aca="false">IF(OR(O52="",$E52="",N($E52)&lt;=0),"",(O52-ABS(N($F52)))/$E52)</f>
        <v>2.19288469781397</v>
      </c>
      <c r="AG52" s="26" t="n">
        <f aca="false">IF(OR(P52="",$E52="",N($E52)&lt;=0),"",(P52-ABS(N($F52)))/$E52)</f>
        <v>4.76468066866695</v>
      </c>
      <c r="AH52" s="26" t="n">
        <f aca="false">IF(OR(Q52="",$E52="",N($E52)&lt;=0),"",(Q52-ABS(N($F52)))/$E52)</f>
        <v>4.20745820831547</v>
      </c>
      <c r="AI52" s="26" t="n">
        <f aca="false">IF(OR(R52="",$E52="",N($E52)&lt;=0),"",(R52-ABS(N($F52)))/$E52)</f>
        <v>6.05057865409344</v>
      </c>
      <c r="AJ52" s="26" t="str">
        <f aca="false">IF(OR(S52="",$E52="",N($E52)&lt;=0),"",(S52-ABS(N($F52)))/$E52)</f>
        <v/>
      </c>
      <c r="AK52" s="26" t="str">
        <f aca="false">IF(OR(T52="",$E52="",N($E52)&lt;=0),"",(T52-ABS(N($F52)))/$E52)</f>
        <v/>
      </c>
      <c r="AL52" s="26" t="str">
        <f aca="false">IF(OR(U52="",$E52="",N($E52)&lt;=0),"",(U52-ABS(N($F52)))/$E52)</f>
        <v/>
      </c>
      <c r="AM52" s="26" t="str">
        <f aca="false">IF(OR(V52="",$E52="",N($E52)&lt;=0),"",(V52-ABS(N($F52)))/$E52)</f>
        <v/>
      </c>
      <c r="AN52" s="26" t="n">
        <f aca="false">IF(OR(W52="",$E52="",N($E52)&lt;=0),"",(W52-ABS(N($F52)))/$E52)</f>
        <v>1.36562366052293</v>
      </c>
      <c r="AO52" s="26" t="str">
        <f aca="false">IF(OR(X52="",$E52="",N($E52)&lt;=0),"",(X52-ABS(N($F52)))/$E52)</f>
        <v/>
      </c>
      <c r="AP52" s="26" t="str">
        <f aca="false">IF(OR(Y52="",$E52="",N($E52)&lt;=0),"",(Y52-ABS(N($F52)))/$E52)</f>
        <v/>
      </c>
    </row>
    <row r="53" customFormat="false" ht="15" hidden="false" customHeight="true" outlineLevel="0" collapsed="false">
      <c r="A53" s="9" t="s">
        <v>173</v>
      </c>
      <c r="B53" s="11" t="s">
        <v>326</v>
      </c>
      <c r="C53" s="11" t="s">
        <v>327</v>
      </c>
      <c r="D53" s="21" t="n">
        <v>51.6588</v>
      </c>
      <c r="E53" s="22" t="n">
        <v>1.971</v>
      </c>
      <c r="F53" s="22" t="n">
        <v>0.1</v>
      </c>
      <c r="G53" s="23" t="n">
        <v>866</v>
      </c>
      <c r="H53" s="11" t="s">
        <v>331</v>
      </c>
      <c r="I53" s="24" t="n">
        <f aca="false">MATCH(A53,'TEa input'!$A$6:$A$68,0)</f>
        <v>24</v>
      </c>
      <c r="J53" s="25" t="n">
        <f aca="false">IF(INDEX('TEa input'!$E$6:$E$68,$I53)="","",INDEX('TEa input'!$E$6:$E$68,$I53))</f>
        <v>5</v>
      </c>
      <c r="K53" s="25" t="n">
        <f aca="false">IF(INDEX('TEa input'!$G$6:$G$68,$I53)="","",INDEX('TEa input'!$G$6:$G$68,$I53))</f>
        <v>8</v>
      </c>
      <c r="L53" s="25" t="n">
        <f aca="false">IF(INDEX('TEa input'!$I$6:$I$68,$I53)="","",INDEX('TEa input'!$I$6:$I$68,$I53))</f>
        <v>6</v>
      </c>
      <c r="M53" s="25" t="str">
        <f aca="false">IF(INDEX('TEa input'!$K$6:$K$68,$I53)="","",INDEX('TEa input'!$K$6:$K$68,$I53))</f>
        <v/>
      </c>
      <c r="N53" s="25" t="n">
        <f aca="false">IF(INDEX('TEa input'!$M$6:$M$68,$I53)="","",INDEX('TEa input'!$M$6:$M$68,$I53))</f>
        <v>5</v>
      </c>
      <c r="O53" s="25" t="n">
        <f aca="false">IF(INDEX('TEa input'!$O$6:$O$68,$I53)="","",INDEX('TEa input'!$O$6:$O$68,$I53))</f>
        <v>5</v>
      </c>
      <c r="P53" s="25" t="n">
        <f aca="false">IF(INDEX('TEa input'!$Q$6:$Q$68,$I53)="","",INDEX('TEa input'!$Q$6:$Q$68,$I53))</f>
        <v>9</v>
      </c>
      <c r="Q53" s="25" t="n">
        <f aca="false">IF(INDEX('TEa input'!$R$6:$R$68,$I53)="","",INDEX('TEa input'!$R$6:$R$68,$I53))</f>
        <v>6.8</v>
      </c>
      <c r="R53" s="25" t="n">
        <f aca="false">IF(INDEX('TEa input'!$T$6:$T$68,$I53)="","",INDEX('TEa input'!$T$6:$T$68,$I53))</f>
        <v>10</v>
      </c>
      <c r="S53" s="25" t="str">
        <f aca="false">IF(INDEX('TEa input'!$Y$6:$Y$68,$I53)="","",INDEX('TEa input'!$Y$6:$Y$68,$I53))</f>
        <v/>
      </c>
      <c r="T53" s="25" t="str">
        <f aca="false">IF(INDEX('TEa input'!$Z$6:$Z$68,$I53)="","",INDEX('TEa input'!$Z$6:$Z$68,$I53))</f>
        <v/>
      </c>
      <c r="U53" s="25" t="str">
        <f aca="false">IF(INDEX('TEa input'!$AA$6:$AA$68,$I53)="","",INDEX('TEa input'!$AA$6:$AA$68,$I53))</f>
        <v/>
      </c>
      <c r="V53" s="25" t="str">
        <f aca="false">IF(INDEX('TEa input'!$AB$6:$AB$68,$I53)="","",INDEX('TEa input'!$AB$6:$AB$68,$I53))</f>
        <v/>
      </c>
      <c r="W53" s="25" t="n">
        <f aca="false">IF(INDEX('TEa input'!$AC$6:$AC$68,$I53)="","",INDEX('TEa input'!$AC$6:$AC$68,$I53))</f>
        <v>3.63</v>
      </c>
      <c r="X53" s="25" t="str">
        <f aca="false">IF(INDEX('TEa input'!$AD$6:$AD$68,$I53)="","",INDEX('TEa input'!$AD$6:$AD$68,$I53))</f>
        <v/>
      </c>
      <c r="Y53" s="25" t="str">
        <f aca="false">IF(INDEX('TEa input'!$AF$6:$AF$68,$I53)="","",INDEX('TEa input'!$AF$6:$AF$68,$I53))</f>
        <v/>
      </c>
      <c r="AA53" s="26" t="n">
        <f aca="false">IF(OR(J53="",$E53="",N($E53)&lt;=0),"",(J53-ABS(N($F53)))/$E53)</f>
        <v>2.48604769152714</v>
      </c>
      <c r="AB53" s="26" t="n">
        <f aca="false">IF(OR(K53="",$E53="",N($E53)&lt;=0),"",(K53-ABS(N($F53)))/$E53)</f>
        <v>4.00811770674784</v>
      </c>
      <c r="AC53" s="26" t="n">
        <f aca="false">IF(OR(L53="",$E53="",N($E53)&lt;=0),"",(L53-ABS(N($F53)))/$E53)</f>
        <v>2.99340436326738</v>
      </c>
      <c r="AD53" s="26" t="str">
        <f aca="false">IF(OR(M53="",$E53="",N($E53)&lt;=0),"",(M53-ABS(N($F53)))/$E53)</f>
        <v/>
      </c>
      <c r="AE53" s="26" t="n">
        <f aca="false">IF(OR(N53="",$E53="",N($E53)&lt;=0),"",(N53-ABS(N($F53)))/$E53)</f>
        <v>2.48604769152714</v>
      </c>
      <c r="AF53" s="26" t="n">
        <f aca="false">IF(OR(O53="",$E53="",N($E53)&lt;=0),"",(O53-ABS(N($F53)))/$E53)</f>
        <v>2.48604769152714</v>
      </c>
      <c r="AG53" s="26" t="n">
        <f aca="false">IF(OR(P53="",$E53="",N($E53)&lt;=0),"",(P53-ABS(N($F53)))/$E53)</f>
        <v>4.51547437848808</v>
      </c>
      <c r="AH53" s="26" t="n">
        <f aca="false">IF(OR(Q53="",$E53="",N($E53)&lt;=0),"",(Q53-ABS(N($F53)))/$E53)</f>
        <v>3.39928970065956</v>
      </c>
      <c r="AI53" s="26" t="n">
        <f aca="false">IF(OR(R53="",$E53="",N($E53)&lt;=0),"",(R53-ABS(N($F53)))/$E53)</f>
        <v>5.02283105022831</v>
      </c>
      <c r="AJ53" s="26" t="str">
        <f aca="false">IF(OR(S53="",$E53="",N($E53)&lt;=0),"",(S53-ABS(N($F53)))/$E53)</f>
        <v/>
      </c>
      <c r="AK53" s="26" t="str">
        <f aca="false">IF(OR(T53="",$E53="",N($E53)&lt;=0),"",(T53-ABS(N($F53)))/$E53)</f>
        <v/>
      </c>
      <c r="AL53" s="26" t="str">
        <f aca="false">IF(OR(U53="",$E53="",N($E53)&lt;=0),"",(U53-ABS(N($F53)))/$E53)</f>
        <v/>
      </c>
      <c r="AM53" s="26" t="str">
        <f aca="false">IF(OR(V53="",$E53="",N($E53)&lt;=0),"",(V53-ABS(N($F53)))/$E53)</f>
        <v/>
      </c>
      <c r="AN53" s="26" t="n">
        <f aca="false">IF(OR(W53="",$E53="",N($E53)&lt;=0),"",(W53-ABS(N($F53)))/$E53)</f>
        <v>1.79096905124302</v>
      </c>
      <c r="AO53" s="26" t="str">
        <f aca="false">IF(OR(X53="",$E53="",N($E53)&lt;=0),"",(X53-ABS(N($F53)))/$E53)</f>
        <v/>
      </c>
      <c r="AP53" s="26" t="str">
        <f aca="false">IF(OR(Y53="",$E53="",N($E53)&lt;=0),"",(Y53-ABS(N($F53)))/$E53)</f>
        <v/>
      </c>
    </row>
    <row r="54" customFormat="false" ht="15" hidden="false" customHeight="true" outlineLevel="0" collapsed="false">
      <c r="A54" s="9" t="s">
        <v>173</v>
      </c>
      <c r="B54" s="11" t="s">
        <v>329</v>
      </c>
      <c r="C54" s="11" t="s">
        <v>330</v>
      </c>
      <c r="D54" s="21" t="n">
        <v>81.7679</v>
      </c>
      <c r="E54" s="22" t="n">
        <v>1.915</v>
      </c>
      <c r="F54" s="22" t="n">
        <v>0.894</v>
      </c>
      <c r="G54" s="23" t="n">
        <v>868</v>
      </c>
      <c r="H54" s="11" t="s">
        <v>331</v>
      </c>
      <c r="I54" s="24" t="n">
        <f aca="false">MATCH(A54,'TEa input'!$A$6:$A$68,0)</f>
        <v>24</v>
      </c>
      <c r="J54" s="25" t="n">
        <f aca="false">IF(INDEX('TEa input'!$E$6:$E$68,$I54)="","",INDEX('TEa input'!$E$6:$E$68,$I54))</f>
        <v>5</v>
      </c>
      <c r="K54" s="25" t="n">
        <f aca="false">IF(INDEX('TEa input'!$G$6:$G$68,$I54)="","",INDEX('TEa input'!$G$6:$G$68,$I54))</f>
        <v>8</v>
      </c>
      <c r="L54" s="25" t="n">
        <f aca="false">IF(INDEX('TEa input'!$I$6:$I$68,$I54)="","",INDEX('TEa input'!$I$6:$I$68,$I54))</f>
        <v>6</v>
      </c>
      <c r="M54" s="25" t="str">
        <f aca="false">IF(INDEX('TEa input'!$K$6:$K$68,$I54)="","",INDEX('TEa input'!$K$6:$K$68,$I54))</f>
        <v/>
      </c>
      <c r="N54" s="25" t="n">
        <f aca="false">IF(INDEX('TEa input'!$M$6:$M$68,$I54)="","",INDEX('TEa input'!$M$6:$M$68,$I54))</f>
        <v>5</v>
      </c>
      <c r="O54" s="25" t="n">
        <f aca="false">IF(INDEX('TEa input'!$O$6:$O$68,$I54)="","",INDEX('TEa input'!$O$6:$O$68,$I54))</f>
        <v>5</v>
      </c>
      <c r="P54" s="25" t="n">
        <f aca="false">IF(INDEX('TEa input'!$Q$6:$Q$68,$I54)="","",INDEX('TEa input'!$Q$6:$Q$68,$I54))</f>
        <v>9</v>
      </c>
      <c r="Q54" s="25" t="n">
        <f aca="false">IF(INDEX('TEa input'!$R$6:$R$68,$I54)="","",INDEX('TEa input'!$R$6:$R$68,$I54))</f>
        <v>6.8</v>
      </c>
      <c r="R54" s="25" t="n">
        <f aca="false">IF(INDEX('TEa input'!$T$6:$T$68,$I54)="","",INDEX('TEa input'!$T$6:$T$68,$I54))</f>
        <v>10</v>
      </c>
      <c r="S54" s="25" t="str">
        <f aca="false">IF(INDEX('TEa input'!$Y$6:$Y$68,$I54)="","",INDEX('TEa input'!$Y$6:$Y$68,$I54))</f>
        <v/>
      </c>
      <c r="T54" s="25" t="str">
        <f aca="false">IF(INDEX('TEa input'!$Z$6:$Z$68,$I54)="","",INDEX('TEa input'!$Z$6:$Z$68,$I54))</f>
        <v/>
      </c>
      <c r="U54" s="25" t="str">
        <f aca="false">IF(INDEX('TEa input'!$AA$6:$AA$68,$I54)="","",INDEX('TEa input'!$AA$6:$AA$68,$I54))</f>
        <v/>
      </c>
      <c r="V54" s="25" t="str">
        <f aca="false">IF(INDEX('TEa input'!$AB$6:$AB$68,$I54)="","",INDEX('TEa input'!$AB$6:$AB$68,$I54))</f>
        <v/>
      </c>
      <c r="W54" s="25" t="n">
        <f aca="false">IF(INDEX('TEa input'!$AC$6:$AC$68,$I54)="","",INDEX('TEa input'!$AC$6:$AC$68,$I54))</f>
        <v>3.63</v>
      </c>
      <c r="X54" s="25" t="str">
        <f aca="false">IF(INDEX('TEa input'!$AD$6:$AD$68,$I54)="","",INDEX('TEa input'!$AD$6:$AD$68,$I54))</f>
        <v/>
      </c>
      <c r="Y54" s="25" t="str">
        <f aca="false">IF(INDEX('TEa input'!$AF$6:$AF$68,$I54)="","",INDEX('TEa input'!$AF$6:$AF$68,$I54))</f>
        <v/>
      </c>
      <c r="AA54" s="26" t="n">
        <f aca="false">IF(OR(J54="",$E54="",N($E54)&lt;=0),"",(J54-ABS(N($F54)))/$E54)</f>
        <v>2.14412532637076</v>
      </c>
      <c r="AB54" s="26" t="n">
        <f aca="false">IF(OR(K54="",$E54="",N($E54)&lt;=0),"",(K54-ABS(N($F54)))/$E54)</f>
        <v>3.71070496083551</v>
      </c>
      <c r="AC54" s="26" t="n">
        <f aca="false">IF(OR(L54="",$E54="",N($E54)&lt;=0),"",(L54-ABS(N($F54)))/$E54)</f>
        <v>2.66631853785901</v>
      </c>
      <c r="AD54" s="26" t="str">
        <f aca="false">IF(OR(M54="",$E54="",N($E54)&lt;=0),"",(M54-ABS(N($F54)))/$E54)</f>
        <v/>
      </c>
      <c r="AE54" s="26" t="n">
        <f aca="false">IF(OR(N54="",$E54="",N($E54)&lt;=0),"",(N54-ABS(N($F54)))/$E54)</f>
        <v>2.14412532637076</v>
      </c>
      <c r="AF54" s="26" t="n">
        <f aca="false">IF(OR(O54="",$E54="",N($E54)&lt;=0),"",(O54-ABS(N($F54)))/$E54)</f>
        <v>2.14412532637076</v>
      </c>
      <c r="AG54" s="26" t="n">
        <f aca="false">IF(OR(P54="",$E54="",N($E54)&lt;=0),"",(P54-ABS(N($F54)))/$E54)</f>
        <v>4.23289817232376</v>
      </c>
      <c r="AH54" s="26" t="n">
        <f aca="false">IF(OR(Q54="",$E54="",N($E54)&lt;=0),"",(Q54-ABS(N($F54)))/$E54)</f>
        <v>3.08407310704961</v>
      </c>
      <c r="AI54" s="26" t="n">
        <f aca="false">IF(OR(R54="",$E54="",N($E54)&lt;=0),"",(R54-ABS(N($F54)))/$E54)</f>
        <v>4.75509138381201</v>
      </c>
      <c r="AJ54" s="26" t="str">
        <f aca="false">IF(OR(S54="",$E54="",N($E54)&lt;=0),"",(S54-ABS(N($F54)))/$E54)</f>
        <v/>
      </c>
      <c r="AK54" s="26" t="str">
        <f aca="false">IF(OR(T54="",$E54="",N($E54)&lt;=0),"",(T54-ABS(N($F54)))/$E54)</f>
        <v/>
      </c>
      <c r="AL54" s="26" t="str">
        <f aca="false">IF(OR(U54="",$E54="",N($E54)&lt;=0),"",(U54-ABS(N($F54)))/$E54)</f>
        <v/>
      </c>
      <c r="AM54" s="26" t="str">
        <f aca="false">IF(OR(V54="",$E54="",N($E54)&lt;=0),"",(V54-ABS(N($F54)))/$E54)</f>
        <v/>
      </c>
      <c r="AN54" s="26" t="n">
        <f aca="false">IF(OR(W54="",$E54="",N($E54)&lt;=0),"",(W54-ABS(N($F54)))/$E54)</f>
        <v>1.42872062663185</v>
      </c>
      <c r="AO54" s="26" t="str">
        <f aca="false">IF(OR(X54="",$E54="",N($E54)&lt;=0),"",(X54-ABS(N($F54)))/$E54)</f>
        <v/>
      </c>
      <c r="AP54" s="26" t="str">
        <f aca="false">IF(OR(Y54="",$E54="",N($E54)&lt;=0),"",(Y54-ABS(N($F54)))/$E54)</f>
        <v/>
      </c>
    </row>
    <row r="55" customFormat="false" ht="15" hidden="false" customHeight="true" outlineLevel="0" collapsed="false">
      <c r="A55" s="9" t="s">
        <v>176</v>
      </c>
      <c r="B55" s="11" t="s">
        <v>326</v>
      </c>
      <c r="C55" s="11" t="s">
        <v>327</v>
      </c>
      <c r="D55" s="21" t="n">
        <v>1.34045</v>
      </c>
      <c r="E55" s="22" t="n">
        <v>1.571</v>
      </c>
      <c r="F55" s="22" t="n">
        <v>0.452</v>
      </c>
      <c r="G55" s="23" t="n">
        <v>896</v>
      </c>
      <c r="H55" s="11" t="s">
        <v>340</v>
      </c>
      <c r="I55" s="24" t="n">
        <f aca="false">MATCH(A55,'TEa input'!$A$6:$A$68,0)</f>
        <v>25</v>
      </c>
      <c r="J55" s="25" t="n">
        <f aca="false">IF(INDEX('TEa input'!$E$6:$E$68,$I55)="","",INDEX('TEa input'!$E$6:$E$68,$I55))</f>
        <v>6</v>
      </c>
      <c r="K55" s="25" t="n">
        <f aca="false">IF(INDEX('TEa input'!$G$6:$G$68,$I55)="","",INDEX('TEa input'!$G$6:$G$68,$I55))</f>
        <v>10</v>
      </c>
      <c r="L55" s="25" t="n">
        <f aca="false">IF(INDEX('TEa input'!$I$6:$I$68,$I55)="","",INDEX('TEa input'!$I$6:$I$68,$I55))</f>
        <v>9</v>
      </c>
      <c r="M55" s="25" t="str">
        <f aca="false">IF(INDEX('TEa input'!$K$6:$K$68,$I55)="","",INDEX('TEa input'!$K$6:$K$68,$I55))</f>
        <v/>
      </c>
      <c r="N55" s="25" t="n">
        <f aca="false">IF(INDEX('TEa input'!$M$6:$M$68,$I55)="","",INDEX('TEa input'!$M$6:$M$68,$I55))</f>
        <v>8</v>
      </c>
      <c r="O55" s="25" t="n">
        <f aca="false">IF(INDEX('TEa input'!$O$6:$O$68,$I55)="","",INDEX('TEa input'!$O$6:$O$68,$I55))</f>
        <v>10</v>
      </c>
      <c r="P55" s="25" t="n">
        <f aca="false">IF(INDEX('TEa input'!$Q$6:$Q$68,$I55)="","",INDEX('TEa input'!$Q$6:$Q$68,$I55))</f>
        <v>15</v>
      </c>
      <c r="Q55" s="25" t="n">
        <f aca="false">IF(INDEX('TEa input'!$R$6:$R$68,$I55)="","",INDEX('TEa input'!$R$6:$R$68,$I55))</f>
        <v>7.4</v>
      </c>
      <c r="R55" s="25" t="n">
        <f aca="false">IF(INDEX('TEa input'!$T$6:$T$68,$I55)="","",INDEX('TEa input'!$T$6:$T$68,$I55))</f>
        <v>16</v>
      </c>
      <c r="S55" s="25" t="str">
        <f aca="false">IF(INDEX('TEa input'!$Y$6:$Y$68,$I55)="","",INDEX('TEa input'!$Y$6:$Y$68,$I55))</f>
        <v/>
      </c>
      <c r="T55" s="25" t="str">
        <f aca="false">IF(INDEX('TEa input'!$Z$6:$Z$68,$I55)="","",INDEX('TEa input'!$Z$6:$Z$68,$I55))</f>
        <v/>
      </c>
      <c r="U55" s="25" t="str">
        <f aca="false">IF(INDEX('TEa input'!$AA$6:$AA$68,$I55)="","",INDEX('TEa input'!$AA$6:$AA$68,$I55))</f>
        <v/>
      </c>
      <c r="V55" s="25" t="str">
        <f aca="false">IF(INDEX('TEa input'!$AB$6:$AB$68,$I55)="","",INDEX('TEa input'!$AB$6:$AB$68,$I55))</f>
        <v/>
      </c>
      <c r="W55" s="25" t="n">
        <f aca="false">IF(INDEX('TEa input'!$AC$6:$AC$68,$I55)="","",INDEX('TEa input'!$AC$6:$AC$68,$I55))</f>
        <v>10.11</v>
      </c>
      <c r="X55" s="25" t="str">
        <f aca="false">IF(INDEX('TEa input'!$AD$6:$AD$68,$I55)="","",INDEX('TEa input'!$AD$6:$AD$68,$I55))</f>
        <v/>
      </c>
      <c r="Y55" s="25" t="str">
        <f aca="false">IF(INDEX('TEa input'!$AF$6:$AF$68,$I55)="","",INDEX('TEa input'!$AF$6:$AF$68,$I55))</f>
        <v/>
      </c>
      <c r="AA55" s="26" t="n">
        <f aca="false">IF(OR(J55="",$E55="",N($E55)&lt;=0),"",(J55-ABS(N($F55)))/$E55)</f>
        <v>3.53150859325271</v>
      </c>
      <c r="AB55" s="26" t="n">
        <f aca="false">IF(OR(K55="",$E55="",N($E55)&lt;=0),"",(K55-ABS(N($F55)))/$E55)</f>
        <v>6.07765754296626</v>
      </c>
      <c r="AC55" s="26" t="n">
        <f aca="false">IF(OR(L55="",$E55="",N($E55)&lt;=0),"",(L55-ABS(N($F55)))/$E55)</f>
        <v>5.44112030553787</v>
      </c>
      <c r="AD55" s="26" t="str">
        <f aca="false">IF(OR(M55="",$E55="",N($E55)&lt;=0),"",(M55-ABS(N($F55)))/$E55)</f>
        <v/>
      </c>
      <c r="AE55" s="26" t="n">
        <f aca="false">IF(OR(N55="",$E55="",N($E55)&lt;=0),"",(N55-ABS(N($F55)))/$E55)</f>
        <v>4.80458306810948</v>
      </c>
      <c r="AF55" s="26" t="n">
        <f aca="false">IF(OR(O55="",$E55="",N($E55)&lt;=0),"",(O55-ABS(N($F55)))/$E55)</f>
        <v>6.07765754296626</v>
      </c>
      <c r="AG55" s="26" t="n">
        <f aca="false">IF(OR(P55="",$E55="",N($E55)&lt;=0),"",(P55-ABS(N($F55)))/$E55)</f>
        <v>9.26034373010821</v>
      </c>
      <c r="AH55" s="26" t="n">
        <f aca="false">IF(OR(Q55="",$E55="",N($E55)&lt;=0),"",(Q55-ABS(N($F55)))/$E55)</f>
        <v>4.42266072565245</v>
      </c>
      <c r="AI55" s="26" t="n">
        <f aca="false">IF(OR(R55="",$E55="",N($E55)&lt;=0),"",(R55-ABS(N($F55)))/$E55)</f>
        <v>9.8968809675366</v>
      </c>
      <c r="AJ55" s="26" t="str">
        <f aca="false">IF(OR(S55="",$E55="",N($E55)&lt;=0),"",(S55-ABS(N($F55)))/$E55)</f>
        <v/>
      </c>
      <c r="AK55" s="26" t="str">
        <f aca="false">IF(OR(T55="",$E55="",N($E55)&lt;=0),"",(T55-ABS(N($F55)))/$E55)</f>
        <v/>
      </c>
      <c r="AL55" s="26" t="str">
        <f aca="false">IF(OR(U55="",$E55="",N($E55)&lt;=0),"",(U55-ABS(N($F55)))/$E55)</f>
        <v/>
      </c>
      <c r="AM55" s="26" t="str">
        <f aca="false">IF(OR(V55="",$E55="",N($E55)&lt;=0),"",(V55-ABS(N($F55)))/$E55)</f>
        <v/>
      </c>
      <c r="AN55" s="26" t="n">
        <f aca="false">IF(OR(W55="",$E55="",N($E55)&lt;=0),"",(W55-ABS(N($F55)))/$E55)</f>
        <v>6.14767663908339</v>
      </c>
      <c r="AO55" s="26" t="str">
        <f aca="false">IF(OR(X55="",$E55="",N($E55)&lt;=0),"",(X55-ABS(N($F55)))/$E55)</f>
        <v/>
      </c>
      <c r="AP55" s="26" t="str">
        <f aca="false">IF(OR(Y55="",$E55="",N($E55)&lt;=0),"",(Y55-ABS(N($F55)))/$E55)</f>
        <v/>
      </c>
    </row>
    <row r="56" customFormat="false" ht="15" hidden="false" customHeight="true" outlineLevel="0" collapsed="false">
      <c r="A56" s="9" t="s">
        <v>176</v>
      </c>
      <c r="B56" s="11" t="s">
        <v>329</v>
      </c>
      <c r="C56" s="11" t="s">
        <v>330</v>
      </c>
      <c r="D56" s="21" t="n">
        <v>2.64739</v>
      </c>
      <c r="E56" s="22" t="n">
        <v>1.227</v>
      </c>
      <c r="F56" s="22" t="n">
        <v>0.453</v>
      </c>
      <c r="G56" s="23" t="n">
        <v>899</v>
      </c>
      <c r="H56" s="11" t="s">
        <v>332</v>
      </c>
      <c r="I56" s="24" t="n">
        <f aca="false">MATCH(A56,'TEa input'!$A$6:$A$68,0)</f>
        <v>25</v>
      </c>
      <c r="J56" s="25" t="n">
        <f aca="false">IF(INDEX('TEa input'!$E$6:$E$68,$I56)="","",INDEX('TEa input'!$E$6:$E$68,$I56))</f>
        <v>6</v>
      </c>
      <c r="K56" s="25" t="n">
        <f aca="false">IF(INDEX('TEa input'!$G$6:$G$68,$I56)="","",INDEX('TEa input'!$G$6:$G$68,$I56))</f>
        <v>10</v>
      </c>
      <c r="L56" s="25" t="n">
        <f aca="false">IF(INDEX('TEa input'!$I$6:$I$68,$I56)="","",INDEX('TEa input'!$I$6:$I$68,$I56))</f>
        <v>9</v>
      </c>
      <c r="M56" s="25" t="str">
        <f aca="false">IF(INDEX('TEa input'!$K$6:$K$68,$I56)="","",INDEX('TEa input'!$K$6:$K$68,$I56))</f>
        <v/>
      </c>
      <c r="N56" s="25" t="n">
        <f aca="false">IF(INDEX('TEa input'!$M$6:$M$68,$I56)="","",INDEX('TEa input'!$M$6:$M$68,$I56))</f>
        <v>8</v>
      </c>
      <c r="O56" s="25" t="n">
        <f aca="false">IF(INDEX('TEa input'!$O$6:$O$68,$I56)="","",INDEX('TEa input'!$O$6:$O$68,$I56))</f>
        <v>10</v>
      </c>
      <c r="P56" s="25" t="n">
        <f aca="false">IF(INDEX('TEa input'!$Q$6:$Q$68,$I56)="","",INDEX('TEa input'!$Q$6:$Q$68,$I56))</f>
        <v>15</v>
      </c>
      <c r="Q56" s="25" t="n">
        <f aca="false">IF(INDEX('TEa input'!$R$6:$R$68,$I56)="","",INDEX('TEa input'!$R$6:$R$68,$I56))</f>
        <v>7.4</v>
      </c>
      <c r="R56" s="25" t="n">
        <f aca="false">IF(INDEX('TEa input'!$T$6:$T$68,$I56)="","",INDEX('TEa input'!$T$6:$T$68,$I56))</f>
        <v>16</v>
      </c>
      <c r="S56" s="25" t="str">
        <f aca="false">IF(INDEX('TEa input'!$Y$6:$Y$68,$I56)="","",INDEX('TEa input'!$Y$6:$Y$68,$I56))</f>
        <v/>
      </c>
      <c r="T56" s="25" t="str">
        <f aca="false">IF(INDEX('TEa input'!$Z$6:$Z$68,$I56)="","",INDEX('TEa input'!$Z$6:$Z$68,$I56))</f>
        <v/>
      </c>
      <c r="U56" s="25" t="str">
        <f aca="false">IF(INDEX('TEa input'!$AA$6:$AA$68,$I56)="","",INDEX('TEa input'!$AA$6:$AA$68,$I56))</f>
        <v/>
      </c>
      <c r="V56" s="25" t="str">
        <f aca="false">IF(INDEX('TEa input'!$AB$6:$AB$68,$I56)="","",INDEX('TEa input'!$AB$6:$AB$68,$I56))</f>
        <v/>
      </c>
      <c r="W56" s="25" t="n">
        <f aca="false">IF(INDEX('TEa input'!$AC$6:$AC$68,$I56)="","",INDEX('TEa input'!$AC$6:$AC$68,$I56))</f>
        <v>10.11</v>
      </c>
      <c r="X56" s="25" t="str">
        <f aca="false">IF(INDEX('TEa input'!$AD$6:$AD$68,$I56)="","",INDEX('TEa input'!$AD$6:$AD$68,$I56))</f>
        <v/>
      </c>
      <c r="Y56" s="25" t="str">
        <f aca="false">IF(INDEX('TEa input'!$AF$6:$AF$68,$I56)="","",INDEX('TEa input'!$AF$6:$AF$68,$I56))</f>
        <v/>
      </c>
      <c r="AA56" s="26" t="n">
        <f aca="false">IF(OR(J56="",$E56="",N($E56)&lt;=0),"",(J56-ABS(N($F56)))/$E56)</f>
        <v>4.52078239608802</v>
      </c>
      <c r="AB56" s="26" t="n">
        <f aca="false">IF(OR(K56="",$E56="",N($E56)&lt;=0),"",(K56-ABS(N($F56)))/$E56)</f>
        <v>7.78076609616952</v>
      </c>
      <c r="AC56" s="26" t="n">
        <f aca="false">IF(OR(L56="",$E56="",N($E56)&lt;=0),"",(L56-ABS(N($F56)))/$E56)</f>
        <v>6.96577017114915</v>
      </c>
      <c r="AD56" s="26" t="str">
        <f aca="false">IF(OR(M56="",$E56="",N($E56)&lt;=0),"",(M56-ABS(N($F56)))/$E56)</f>
        <v/>
      </c>
      <c r="AE56" s="26" t="n">
        <f aca="false">IF(OR(N56="",$E56="",N($E56)&lt;=0),"",(N56-ABS(N($F56)))/$E56)</f>
        <v>6.15077424612877</v>
      </c>
      <c r="AF56" s="26" t="n">
        <f aca="false">IF(OR(O56="",$E56="",N($E56)&lt;=0),"",(O56-ABS(N($F56)))/$E56)</f>
        <v>7.78076609616952</v>
      </c>
      <c r="AG56" s="26" t="n">
        <f aca="false">IF(OR(P56="",$E56="",N($E56)&lt;=0),"",(P56-ABS(N($F56)))/$E56)</f>
        <v>11.8557457212714</v>
      </c>
      <c r="AH56" s="26" t="n">
        <f aca="false">IF(OR(Q56="",$E56="",N($E56)&lt;=0),"",(Q56-ABS(N($F56)))/$E56)</f>
        <v>5.66177669111654</v>
      </c>
      <c r="AI56" s="26" t="n">
        <f aca="false">IF(OR(R56="",$E56="",N($E56)&lt;=0),"",(R56-ABS(N($F56)))/$E56)</f>
        <v>12.6707416462918</v>
      </c>
      <c r="AJ56" s="26" t="str">
        <f aca="false">IF(OR(S56="",$E56="",N($E56)&lt;=0),"",(S56-ABS(N($F56)))/$E56)</f>
        <v/>
      </c>
      <c r="AK56" s="26" t="str">
        <f aca="false">IF(OR(T56="",$E56="",N($E56)&lt;=0),"",(T56-ABS(N($F56)))/$E56)</f>
        <v/>
      </c>
      <c r="AL56" s="26" t="str">
        <f aca="false">IF(OR(U56="",$E56="",N($E56)&lt;=0),"",(U56-ABS(N($F56)))/$E56)</f>
        <v/>
      </c>
      <c r="AM56" s="26" t="str">
        <f aca="false">IF(OR(V56="",$E56="",N($E56)&lt;=0),"",(V56-ABS(N($F56)))/$E56)</f>
        <v/>
      </c>
      <c r="AN56" s="26" t="n">
        <f aca="false">IF(OR(W56="",$E56="",N($E56)&lt;=0),"",(W56-ABS(N($F56)))/$E56)</f>
        <v>7.87041564792176</v>
      </c>
      <c r="AO56" s="26" t="str">
        <f aca="false">IF(OR(X56="",$E56="",N($E56)&lt;=0),"",(X56-ABS(N($F56)))/$E56)</f>
        <v/>
      </c>
      <c r="AP56" s="26" t="str">
        <f aca="false">IF(OR(Y56="",$E56="",N($E56)&lt;=0),"",(Y56-ABS(N($F56)))/$E56)</f>
        <v/>
      </c>
    </row>
    <row r="57" customFormat="false" ht="15" hidden="false" customHeight="true" outlineLevel="0" collapsed="false">
      <c r="A57" s="9" t="s">
        <v>181</v>
      </c>
      <c r="B57" s="11" t="s">
        <v>326</v>
      </c>
      <c r="C57" s="11" t="s">
        <v>327</v>
      </c>
      <c r="D57" s="21" t="n">
        <v>0.796518</v>
      </c>
      <c r="E57" s="22" t="n">
        <v>1.146</v>
      </c>
      <c r="F57" s="22" t="n">
        <v>0.678</v>
      </c>
      <c r="G57" s="23" t="n">
        <v>915</v>
      </c>
      <c r="H57" s="11" t="s">
        <v>332</v>
      </c>
      <c r="I57" s="24" t="n">
        <f aca="false">MATCH(A57,'TEa input'!$A$6:$A$68,0)</f>
        <v>26</v>
      </c>
      <c r="J57" s="25" t="n">
        <f aca="false">IF(INDEX('TEa input'!$E$6:$E$68,$I57)="","",INDEX('TEa input'!$E$6:$E$68,$I57))</f>
        <v>6</v>
      </c>
      <c r="K57" s="25" t="n">
        <f aca="false">IF(INDEX('TEa input'!$G$6:$G$68,$I57)="","",INDEX('TEa input'!$G$6:$G$68,$I57))</f>
        <v>15</v>
      </c>
      <c r="L57" s="25" t="n">
        <f aca="false">IF(INDEX('TEa input'!$I$6:$I$68,$I57)="","",INDEX('TEa input'!$I$6:$I$68,$I57))</f>
        <v>7.5</v>
      </c>
      <c r="M57" s="25" t="str">
        <f aca="false">IF(INDEX('TEa input'!$K$6:$K$68,$I57)="","",INDEX('TEa input'!$K$6:$K$68,$I57))</f>
        <v/>
      </c>
      <c r="N57" s="25" t="n">
        <f aca="false">IF(INDEX('TEa input'!$M$6:$M$68,$I57)="","",INDEX('TEa input'!$M$6:$M$68,$I57))</f>
        <v>8</v>
      </c>
      <c r="O57" s="25" t="n">
        <f aca="false">IF(INDEX('TEa input'!$O$6:$O$68,$I57)="","",INDEX('TEa input'!$O$6:$O$68,$I57))</f>
        <v>15</v>
      </c>
      <c r="P57" s="25" t="n">
        <f aca="false">IF(INDEX('TEa input'!$Q$6:$Q$68,$I57)="","",INDEX('TEa input'!$Q$6:$Q$68,$I57))</f>
        <v>15</v>
      </c>
      <c r="Q57" s="25" t="n">
        <f aca="false">IF(INDEX('TEa input'!$R$6:$R$68,$I57)="","",INDEX('TEa input'!$R$6:$R$68,$I57))</f>
        <v>8.9</v>
      </c>
      <c r="R57" s="25" t="n">
        <f aca="false">IF(INDEX('TEa input'!$T$6:$T$68,$I57)="","",INDEX('TEa input'!$T$6:$T$68,$I57))</f>
        <v>15</v>
      </c>
      <c r="S57" s="25" t="str">
        <f aca="false">IF(INDEX('TEa input'!$Y$6:$Y$68,$I57)="","",INDEX('TEa input'!$Y$6:$Y$68,$I57))</f>
        <v/>
      </c>
      <c r="T57" s="25" t="str">
        <f aca="false">IF(INDEX('TEa input'!$Z$6:$Z$68,$I57)="","",INDEX('TEa input'!$Z$6:$Z$68,$I57))</f>
        <v/>
      </c>
      <c r="U57" s="25" t="str">
        <f aca="false">IF(INDEX('TEa input'!$AA$6:$AA$68,$I57)="","",INDEX('TEa input'!$AA$6:$AA$68,$I57))</f>
        <v/>
      </c>
      <c r="V57" s="25" t="str">
        <f aca="false">IF(INDEX('TEa input'!$AB$6:$AB$68,$I57)="","",INDEX('TEa input'!$AB$6:$AB$68,$I57))</f>
        <v/>
      </c>
      <c r="W57" s="25" t="n">
        <f aca="false">IF(INDEX('TEa input'!$AC$6:$AC$68,$I57)="","",INDEX('TEa input'!$AC$6:$AC$68,$I57))</f>
        <v>4.8</v>
      </c>
      <c r="X57" s="25" t="str">
        <f aca="false">IF(INDEX('TEa input'!$AD$6:$AD$68,$I57)="","",INDEX('TEa input'!$AD$6:$AD$68,$I57))</f>
        <v/>
      </c>
      <c r="Y57" s="25" t="str">
        <f aca="false">IF(INDEX('TEa input'!$AF$6:$AF$68,$I57)="","",INDEX('TEa input'!$AF$6:$AF$68,$I57))</f>
        <v/>
      </c>
      <c r="AA57" s="26" t="n">
        <f aca="false">IF(OR(J57="",$E57="",N($E57)&lt;=0),"",(J57-ABS(N($F57)))/$E57)</f>
        <v>4.64397905759162</v>
      </c>
      <c r="AB57" s="26" t="n">
        <f aca="false">IF(OR(K57="",$E57="",N($E57)&lt;=0),"",(K57-ABS(N($F57)))/$E57)</f>
        <v>12.4973821989529</v>
      </c>
      <c r="AC57" s="26" t="n">
        <f aca="false">IF(OR(L57="",$E57="",N($E57)&lt;=0),"",(L57-ABS(N($F57)))/$E57)</f>
        <v>5.95287958115183</v>
      </c>
      <c r="AD57" s="26" t="str">
        <f aca="false">IF(OR(M57="",$E57="",N($E57)&lt;=0),"",(M57-ABS(N($F57)))/$E57)</f>
        <v/>
      </c>
      <c r="AE57" s="26" t="n">
        <f aca="false">IF(OR(N57="",$E57="",N($E57)&lt;=0),"",(N57-ABS(N($F57)))/$E57)</f>
        <v>6.3891797556719</v>
      </c>
      <c r="AF57" s="26" t="n">
        <f aca="false">IF(OR(O57="",$E57="",N($E57)&lt;=0),"",(O57-ABS(N($F57)))/$E57)</f>
        <v>12.4973821989529</v>
      </c>
      <c r="AG57" s="26" t="n">
        <f aca="false">IF(OR(P57="",$E57="",N($E57)&lt;=0),"",(P57-ABS(N($F57)))/$E57)</f>
        <v>12.4973821989529</v>
      </c>
      <c r="AH57" s="26" t="n">
        <f aca="false">IF(OR(Q57="",$E57="",N($E57)&lt;=0),"",(Q57-ABS(N($F57)))/$E57)</f>
        <v>7.17452006980803</v>
      </c>
      <c r="AI57" s="26" t="n">
        <f aca="false">IF(OR(R57="",$E57="",N($E57)&lt;=0),"",(R57-ABS(N($F57)))/$E57)</f>
        <v>12.4973821989529</v>
      </c>
      <c r="AJ57" s="26" t="str">
        <f aca="false">IF(OR(S57="",$E57="",N($E57)&lt;=0),"",(S57-ABS(N($F57)))/$E57)</f>
        <v/>
      </c>
      <c r="AK57" s="26" t="str">
        <f aca="false">IF(OR(T57="",$E57="",N($E57)&lt;=0),"",(T57-ABS(N($F57)))/$E57)</f>
        <v/>
      </c>
      <c r="AL57" s="26" t="str">
        <f aca="false">IF(OR(U57="",$E57="",N($E57)&lt;=0),"",(U57-ABS(N($F57)))/$E57)</f>
        <v/>
      </c>
      <c r="AM57" s="26" t="str">
        <f aca="false">IF(OR(V57="",$E57="",N($E57)&lt;=0),"",(V57-ABS(N($F57)))/$E57)</f>
        <v/>
      </c>
      <c r="AN57" s="26" t="n">
        <f aca="false">IF(OR(W57="",$E57="",N($E57)&lt;=0),"",(W57-ABS(N($F57)))/$E57)</f>
        <v>3.59685863874346</v>
      </c>
      <c r="AO57" s="26" t="str">
        <f aca="false">IF(OR(X57="",$E57="",N($E57)&lt;=0),"",(X57-ABS(N($F57)))/$E57)</f>
        <v/>
      </c>
      <c r="AP57" s="26" t="str">
        <f aca="false">IF(OR(Y57="",$E57="",N($E57)&lt;=0),"",(Y57-ABS(N($F57)))/$E57)</f>
        <v/>
      </c>
    </row>
    <row r="58" customFormat="false" ht="15" hidden="false" customHeight="true" outlineLevel="0" collapsed="false">
      <c r="A58" s="9" t="s">
        <v>181</v>
      </c>
      <c r="B58" s="11" t="s">
        <v>329</v>
      </c>
      <c r="C58" s="11" t="s">
        <v>330</v>
      </c>
      <c r="D58" s="21" t="n">
        <v>1.44157</v>
      </c>
      <c r="E58" s="22" t="n">
        <v>1.075</v>
      </c>
      <c r="F58" s="22" t="n">
        <v>0.73</v>
      </c>
      <c r="G58" s="23" t="n">
        <v>916</v>
      </c>
      <c r="H58" s="11" t="s">
        <v>332</v>
      </c>
      <c r="I58" s="24" t="n">
        <f aca="false">MATCH(A58,'TEa input'!$A$6:$A$68,0)</f>
        <v>26</v>
      </c>
      <c r="J58" s="25" t="n">
        <f aca="false">IF(INDEX('TEa input'!$E$6:$E$68,$I58)="","",INDEX('TEa input'!$E$6:$E$68,$I58))</f>
        <v>6</v>
      </c>
      <c r="K58" s="25" t="n">
        <f aca="false">IF(INDEX('TEa input'!$G$6:$G$68,$I58)="","",INDEX('TEa input'!$G$6:$G$68,$I58))</f>
        <v>15</v>
      </c>
      <c r="L58" s="25" t="n">
        <f aca="false">IF(INDEX('TEa input'!$I$6:$I$68,$I58)="","",INDEX('TEa input'!$I$6:$I$68,$I58))</f>
        <v>7.5</v>
      </c>
      <c r="M58" s="25" t="str">
        <f aca="false">IF(INDEX('TEa input'!$K$6:$K$68,$I58)="","",INDEX('TEa input'!$K$6:$K$68,$I58))</f>
        <v/>
      </c>
      <c r="N58" s="25" t="n">
        <f aca="false">IF(INDEX('TEa input'!$M$6:$M$68,$I58)="","",INDEX('TEa input'!$M$6:$M$68,$I58))</f>
        <v>8</v>
      </c>
      <c r="O58" s="25" t="n">
        <f aca="false">IF(INDEX('TEa input'!$O$6:$O$68,$I58)="","",INDEX('TEa input'!$O$6:$O$68,$I58))</f>
        <v>15</v>
      </c>
      <c r="P58" s="25" t="n">
        <f aca="false">IF(INDEX('TEa input'!$Q$6:$Q$68,$I58)="","",INDEX('TEa input'!$Q$6:$Q$68,$I58))</f>
        <v>15</v>
      </c>
      <c r="Q58" s="25" t="n">
        <f aca="false">IF(INDEX('TEa input'!$R$6:$R$68,$I58)="","",INDEX('TEa input'!$R$6:$R$68,$I58))</f>
        <v>8.9</v>
      </c>
      <c r="R58" s="25" t="n">
        <f aca="false">IF(INDEX('TEa input'!$T$6:$T$68,$I58)="","",INDEX('TEa input'!$T$6:$T$68,$I58))</f>
        <v>15</v>
      </c>
      <c r="S58" s="25" t="str">
        <f aca="false">IF(INDEX('TEa input'!$Y$6:$Y$68,$I58)="","",INDEX('TEa input'!$Y$6:$Y$68,$I58))</f>
        <v/>
      </c>
      <c r="T58" s="25" t="str">
        <f aca="false">IF(INDEX('TEa input'!$Z$6:$Z$68,$I58)="","",INDEX('TEa input'!$Z$6:$Z$68,$I58))</f>
        <v/>
      </c>
      <c r="U58" s="25" t="str">
        <f aca="false">IF(INDEX('TEa input'!$AA$6:$AA$68,$I58)="","",INDEX('TEa input'!$AA$6:$AA$68,$I58))</f>
        <v/>
      </c>
      <c r="V58" s="25" t="str">
        <f aca="false">IF(INDEX('TEa input'!$AB$6:$AB$68,$I58)="","",INDEX('TEa input'!$AB$6:$AB$68,$I58))</f>
        <v/>
      </c>
      <c r="W58" s="25" t="n">
        <f aca="false">IF(INDEX('TEa input'!$AC$6:$AC$68,$I58)="","",INDEX('TEa input'!$AC$6:$AC$68,$I58))</f>
        <v>4.8</v>
      </c>
      <c r="X58" s="25" t="str">
        <f aca="false">IF(INDEX('TEa input'!$AD$6:$AD$68,$I58)="","",INDEX('TEa input'!$AD$6:$AD$68,$I58))</f>
        <v/>
      </c>
      <c r="Y58" s="25" t="str">
        <f aca="false">IF(INDEX('TEa input'!$AF$6:$AF$68,$I58)="","",INDEX('TEa input'!$AF$6:$AF$68,$I58))</f>
        <v/>
      </c>
      <c r="AA58" s="26" t="n">
        <f aca="false">IF(OR(J58="",$E58="",N($E58)&lt;=0),"",(J58-ABS(N($F58)))/$E58)</f>
        <v>4.90232558139535</v>
      </c>
      <c r="AB58" s="26" t="n">
        <f aca="false">IF(OR(K58="",$E58="",N($E58)&lt;=0),"",(K58-ABS(N($F58)))/$E58)</f>
        <v>13.2744186046512</v>
      </c>
      <c r="AC58" s="26" t="n">
        <f aca="false">IF(OR(L58="",$E58="",N($E58)&lt;=0),"",(L58-ABS(N($F58)))/$E58)</f>
        <v>6.29767441860465</v>
      </c>
      <c r="AD58" s="26" t="str">
        <f aca="false">IF(OR(M58="",$E58="",N($E58)&lt;=0),"",(M58-ABS(N($F58)))/$E58)</f>
        <v/>
      </c>
      <c r="AE58" s="26" t="n">
        <f aca="false">IF(OR(N58="",$E58="",N($E58)&lt;=0),"",(N58-ABS(N($F58)))/$E58)</f>
        <v>6.76279069767442</v>
      </c>
      <c r="AF58" s="26" t="n">
        <f aca="false">IF(OR(O58="",$E58="",N($E58)&lt;=0),"",(O58-ABS(N($F58)))/$E58)</f>
        <v>13.2744186046512</v>
      </c>
      <c r="AG58" s="26" t="n">
        <f aca="false">IF(OR(P58="",$E58="",N($E58)&lt;=0),"",(P58-ABS(N($F58)))/$E58)</f>
        <v>13.2744186046512</v>
      </c>
      <c r="AH58" s="26" t="n">
        <f aca="false">IF(OR(Q58="",$E58="",N($E58)&lt;=0),"",(Q58-ABS(N($F58)))/$E58)</f>
        <v>7.6</v>
      </c>
      <c r="AI58" s="26" t="n">
        <f aca="false">IF(OR(R58="",$E58="",N($E58)&lt;=0),"",(R58-ABS(N($F58)))/$E58)</f>
        <v>13.2744186046512</v>
      </c>
      <c r="AJ58" s="26" t="str">
        <f aca="false">IF(OR(S58="",$E58="",N($E58)&lt;=0),"",(S58-ABS(N($F58)))/$E58)</f>
        <v/>
      </c>
      <c r="AK58" s="26" t="str">
        <f aca="false">IF(OR(T58="",$E58="",N($E58)&lt;=0),"",(T58-ABS(N($F58)))/$E58)</f>
        <v/>
      </c>
      <c r="AL58" s="26" t="str">
        <f aca="false">IF(OR(U58="",$E58="",N($E58)&lt;=0),"",(U58-ABS(N($F58)))/$E58)</f>
        <v/>
      </c>
      <c r="AM58" s="26" t="str">
        <f aca="false">IF(OR(V58="",$E58="",N($E58)&lt;=0),"",(V58-ABS(N($F58)))/$E58)</f>
        <v/>
      </c>
      <c r="AN58" s="26" t="n">
        <f aca="false">IF(OR(W58="",$E58="",N($E58)&lt;=0),"",(W58-ABS(N($F58)))/$E58)</f>
        <v>3.78604651162791</v>
      </c>
      <c r="AO58" s="26" t="str">
        <f aca="false">IF(OR(X58="",$E58="",N($E58)&lt;=0),"",(X58-ABS(N($F58)))/$E58)</f>
        <v/>
      </c>
      <c r="AP58" s="26" t="str">
        <f aca="false">IF(OR(Y58="",$E58="",N($E58)&lt;=0),"",(Y58-ABS(N($F58)))/$E58)</f>
        <v/>
      </c>
    </row>
    <row r="59" customFormat="false" ht="15" hidden="false" customHeight="true" outlineLevel="0" collapsed="false">
      <c r="A59" s="9" t="s">
        <v>186</v>
      </c>
      <c r="B59" s="11" t="s">
        <v>326</v>
      </c>
      <c r="C59" s="11" t="s">
        <v>327</v>
      </c>
      <c r="D59" s="21" t="n">
        <v>5.91706</v>
      </c>
      <c r="E59" s="22" t="n">
        <v>1.949</v>
      </c>
      <c r="F59" s="22" t="n">
        <v>0.889</v>
      </c>
      <c r="G59" s="23" t="n">
        <v>1181</v>
      </c>
      <c r="H59" s="11" t="s">
        <v>331</v>
      </c>
      <c r="I59" s="24" t="n">
        <f aca="false">MATCH(A59,'TEa input'!$A$6:$A$68,0)</f>
        <v>27</v>
      </c>
      <c r="J59" s="25" t="str">
        <f aca="false">IF(INDEX('TEa input'!$E$6:$E$68,$I59)="","",INDEX('TEa input'!$E$6:$E$68,$I59))</f>
        <v/>
      </c>
      <c r="K59" s="25" t="n">
        <f aca="false">IF(INDEX('TEa input'!$G$6:$G$68,$I59)="","",INDEX('TEa input'!$G$6:$G$68,$I59))</f>
        <v>30</v>
      </c>
      <c r="L59" s="25" t="n">
        <f aca="false">IF(INDEX('TEa input'!$I$6:$I$68,$I59)="","",INDEX('TEa input'!$I$6:$I$68,$I59))</f>
        <v>13.5</v>
      </c>
      <c r="M59" s="25" t="str">
        <f aca="false">IF(INDEX('TEa input'!$K$6:$K$68,$I59)="","",INDEX('TEa input'!$K$6:$K$68,$I59))</f>
        <v/>
      </c>
      <c r="N59" s="25" t="n">
        <f aca="false">IF(INDEX('TEa input'!$M$6:$M$68,$I59)="","",INDEX('TEa input'!$M$6:$M$68,$I59))</f>
        <v>20</v>
      </c>
      <c r="O59" s="25" t="str">
        <f aca="false">IF(INDEX('TEa input'!$O$6:$O$68,$I59)="","",INDEX('TEa input'!$O$6:$O$68,$I59))</f>
        <v/>
      </c>
      <c r="P59" s="25" t="str">
        <f aca="false">IF(INDEX('TEa input'!$Q$6:$Q$68,$I59)="","",INDEX('TEa input'!$Q$6:$Q$68,$I59))</f>
        <v/>
      </c>
      <c r="Q59" s="25" t="str">
        <f aca="false">IF(INDEX('TEa input'!$R$6:$R$68,$I59)="","",INDEX('TEa input'!$R$6:$R$68,$I59))</f>
        <v/>
      </c>
      <c r="R59" s="25" t="n">
        <f aca="false">IF(INDEX('TEa input'!$T$6:$T$68,$I59)="","",INDEX('TEa input'!$T$6:$T$68,$I59))</f>
        <v>20</v>
      </c>
      <c r="S59" s="25" t="str">
        <f aca="false">IF(INDEX('TEa input'!$Y$6:$Y$68,$I59)="","",INDEX('TEa input'!$Y$6:$Y$68,$I59))</f>
        <v/>
      </c>
      <c r="T59" s="25" t="str">
        <f aca="false">IF(INDEX('TEa input'!$Z$6:$Z$68,$I59)="","",INDEX('TEa input'!$Z$6:$Z$68,$I59))</f>
        <v/>
      </c>
      <c r="U59" s="25" t="str">
        <f aca="false">IF(INDEX('TEa input'!$AA$6:$AA$68,$I59)="","",INDEX('TEa input'!$AA$6:$AA$68,$I59))</f>
        <v/>
      </c>
      <c r="V59" s="25" t="str">
        <f aca="false">IF(INDEX('TEa input'!$AB$6:$AB$68,$I59)="","",INDEX('TEa input'!$AB$6:$AB$68,$I59))</f>
        <v/>
      </c>
      <c r="W59" s="25" t="str">
        <f aca="false">IF(INDEX('TEa input'!$AC$6:$AC$68,$I59)="","",INDEX('TEa input'!$AC$6:$AC$68,$I59))</f>
        <v/>
      </c>
      <c r="X59" s="25" t="str">
        <f aca="false">IF(INDEX('TEa input'!$AD$6:$AD$68,$I59)="","",INDEX('TEa input'!$AD$6:$AD$68,$I59))</f>
        <v/>
      </c>
      <c r="Y59" s="25" t="str">
        <f aca="false">IF(INDEX('TEa input'!$AF$6:$AF$68,$I59)="","",INDEX('TEa input'!$AF$6:$AF$68,$I59))</f>
        <v/>
      </c>
      <c r="AA59" s="26" t="str">
        <f aca="false">IF(OR(J59="",$E59="",N($E59)&lt;=0),"",(J59-ABS(N($F59)))/$E59)</f>
        <v/>
      </c>
      <c r="AB59" s="26" t="n">
        <f aca="false">IF(OR(K59="",$E59="",N($E59)&lt;=0),"",(K59-ABS(N($F59)))/$E59)</f>
        <v>14.9363776295536</v>
      </c>
      <c r="AC59" s="26" t="n">
        <f aca="false">IF(OR(L59="",$E59="",N($E59)&lt;=0),"",(L59-ABS(N($F59)))/$E59)</f>
        <v>6.47049769112365</v>
      </c>
      <c r="AD59" s="26" t="str">
        <f aca="false">IF(OR(M59="",$E59="",N($E59)&lt;=0),"",(M59-ABS(N($F59)))/$E59)</f>
        <v/>
      </c>
      <c r="AE59" s="26" t="n">
        <f aca="false">IF(OR(N59="",$E59="",N($E59)&lt;=0),"",(N59-ABS(N($F59)))/$E59)</f>
        <v>9.80554130323243</v>
      </c>
      <c r="AF59" s="26" t="str">
        <f aca="false">IF(OR(O59="",$E59="",N($E59)&lt;=0),"",(O59-ABS(N($F59)))/$E59)</f>
        <v/>
      </c>
      <c r="AG59" s="26" t="str">
        <f aca="false">IF(OR(P59="",$E59="",N($E59)&lt;=0),"",(P59-ABS(N($F59)))/$E59)</f>
        <v/>
      </c>
      <c r="AH59" s="26" t="str">
        <f aca="false">IF(OR(Q59="",$E59="",N($E59)&lt;=0),"",(Q59-ABS(N($F59)))/$E59)</f>
        <v/>
      </c>
      <c r="AI59" s="26" t="n">
        <f aca="false">IF(OR(R59="",$E59="",N($E59)&lt;=0),"",(R59-ABS(N($F59)))/$E59)</f>
        <v>9.80554130323243</v>
      </c>
      <c r="AJ59" s="26" t="str">
        <f aca="false">IF(OR(S59="",$E59="",N($E59)&lt;=0),"",(S59-ABS(N($F59)))/$E59)</f>
        <v/>
      </c>
      <c r="AK59" s="26" t="str">
        <f aca="false">IF(OR(T59="",$E59="",N($E59)&lt;=0),"",(T59-ABS(N($F59)))/$E59)</f>
        <v/>
      </c>
      <c r="AL59" s="26" t="str">
        <f aca="false">IF(OR(U59="",$E59="",N($E59)&lt;=0),"",(U59-ABS(N($F59)))/$E59)</f>
        <v/>
      </c>
      <c r="AM59" s="26" t="str">
        <f aca="false">IF(OR(V59="",$E59="",N($E59)&lt;=0),"",(V59-ABS(N($F59)))/$E59)</f>
        <v/>
      </c>
      <c r="AN59" s="26" t="str">
        <f aca="false">IF(OR(W59="",$E59="",N($E59)&lt;=0),"",(W59-ABS(N($F59)))/$E59)</f>
        <v/>
      </c>
      <c r="AO59" s="26" t="str">
        <f aca="false">IF(OR(X59="",$E59="",N($E59)&lt;=0),"",(X59-ABS(N($F59)))/$E59)</f>
        <v/>
      </c>
      <c r="AP59" s="26" t="str">
        <f aca="false">IF(OR(Y59="",$E59="",N($E59)&lt;=0),"",(Y59-ABS(N($F59)))/$E59)</f>
        <v/>
      </c>
    </row>
    <row r="60" customFormat="false" ht="15" hidden="false" customHeight="true" outlineLevel="0" collapsed="false">
      <c r="A60" s="9" t="s">
        <v>186</v>
      </c>
      <c r="B60" s="11" t="s">
        <v>329</v>
      </c>
      <c r="C60" s="11" t="s">
        <v>330</v>
      </c>
      <c r="D60" s="21" t="n">
        <v>49.8194</v>
      </c>
      <c r="E60" s="22" t="n">
        <v>1.89</v>
      </c>
      <c r="F60" s="22" t="n">
        <v>0.748</v>
      </c>
      <c r="G60" s="23" t="n">
        <v>1180</v>
      </c>
      <c r="H60" s="11" t="s">
        <v>331</v>
      </c>
      <c r="I60" s="24" t="n">
        <f aca="false">MATCH(A60,'TEa input'!$A$6:$A$68,0)</f>
        <v>27</v>
      </c>
      <c r="J60" s="25" t="str">
        <f aca="false">IF(INDEX('TEa input'!$E$6:$E$68,$I60)="","",INDEX('TEa input'!$E$6:$E$68,$I60))</f>
        <v/>
      </c>
      <c r="K60" s="25" t="n">
        <f aca="false">IF(INDEX('TEa input'!$G$6:$G$68,$I60)="","",INDEX('TEa input'!$G$6:$G$68,$I60))</f>
        <v>30</v>
      </c>
      <c r="L60" s="25" t="n">
        <f aca="false">IF(INDEX('TEa input'!$I$6:$I$68,$I60)="","",INDEX('TEa input'!$I$6:$I$68,$I60))</f>
        <v>13.5</v>
      </c>
      <c r="M60" s="25" t="str">
        <f aca="false">IF(INDEX('TEa input'!$K$6:$K$68,$I60)="","",INDEX('TEa input'!$K$6:$K$68,$I60))</f>
        <v/>
      </c>
      <c r="N60" s="25" t="n">
        <f aca="false">IF(INDEX('TEa input'!$M$6:$M$68,$I60)="","",INDEX('TEa input'!$M$6:$M$68,$I60))</f>
        <v>20</v>
      </c>
      <c r="O60" s="25" t="str">
        <f aca="false">IF(INDEX('TEa input'!$O$6:$O$68,$I60)="","",INDEX('TEa input'!$O$6:$O$68,$I60))</f>
        <v/>
      </c>
      <c r="P60" s="25" t="str">
        <f aca="false">IF(INDEX('TEa input'!$Q$6:$Q$68,$I60)="","",INDEX('TEa input'!$Q$6:$Q$68,$I60))</f>
        <v/>
      </c>
      <c r="Q60" s="25" t="str">
        <f aca="false">IF(INDEX('TEa input'!$R$6:$R$68,$I60)="","",INDEX('TEa input'!$R$6:$R$68,$I60))</f>
        <v/>
      </c>
      <c r="R60" s="25" t="n">
        <f aca="false">IF(INDEX('TEa input'!$T$6:$T$68,$I60)="","",INDEX('TEa input'!$T$6:$T$68,$I60))</f>
        <v>20</v>
      </c>
      <c r="S60" s="25" t="str">
        <f aca="false">IF(INDEX('TEa input'!$Y$6:$Y$68,$I60)="","",INDEX('TEa input'!$Y$6:$Y$68,$I60))</f>
        <v/>
      </c>
      <c r="T60" s="25" t="str">
        <f aca="false">IF(INDEX('TEa input'!$Z$6:$Z$68,$I60)="","",INDEX('TEa input'!$Z$6:$Z$68,$I60))</f>
        <v/>
      </c>
      <c r="U60" s="25" t="str">
        <f aca="false">IF(INDEX('TEa input'!$AA$6:$AA$68,$I60)="","",INDEX('TEa input'!$AA$6:$AA$68,$I60))</f>
        <v/>
      </c>
      <c r="V60" s="25" t="str">
        <f aca="false">IF(INDEX('TEa input'!$AB$6:$AB$68,$I60)="","",INDEX('TEa input'!$AB$6:$AB$68,$I60))</f>
        <v/>
      </c>
      <c r="W60" s="25" t="str">
        <f aca="false">IF(INDEX('TEa input'!$AC$6:$AC$68,$I60)="","",INDEX('TEa input'!$AC$6:$AC$68,$I60))</f>
        <v/>
      </c>
      <c r="X60" s="25" t="str">
        <f aca="false">IF(INDEX('TEa input'!$AD$6:$AD$68,$I60)="","",INDEX('TEa input'!$AD$6:$AD$68,$I60))</f>
        <v/>
      </c>
      <c r="Y60" s="25" t="str">
        <f aca="false">IF(INDEX('TEa input'!$AF$6:$AF$68,$I60)="","",INDEX('TEa input'!$AF$6:$AF$68,$I60))</f>
        <v/>
      </c>
      <c r="AA60" s="26" t="str">
        <f aca="false">IF(OR(J60="",$E60="",N($E60)&lt;=0),"",(J60-ABS(N($F60)))/$E60)</f>
        <v/>
      </c>
      <c r="AB60" s="26" t="n">
        <f aca="false">IF(OR(K60="",$E60="",N($E60)&lt;=0),"",(K60-ABS(N($F60)))/$E60)</f>
        <v>15.4772486772487</v>
      </c>
      <c r="AC60" s="26" t="n">
        <f aca="false">IF(OR(L60="",$E60="",N($E60)&lt;=0),"",(L60-ABS(N($F60)))/$E60)</f>
        <v>6.74708994708995</v>
      </c>
      <c r="AD60" s="26" t="str">
        <f aca="false">IF(OR(M60="",$E60="",N($E60)&lt;=0),"",(M60-ABS(N($F60)))/$E60)</f>
        <v/>
      </c>
      <c r="AE60" s="26" t="n">
        <f aca="false">IF(OR(N60="",$E60="",N($E60)&lt;=0),"",(N60-ABS(N($F60)))/$E60)</f>
        <v>10.1862433862434</v>
      </c>
      <c r="AF60" s="26" t="str">
        <f aca="false">IF(OR(O60="",$E60="",N($E60)&lt;=0),"",(O60-ABS(N($F60)))/$E60)</f>
        <v/>
      </c>
      <c r="AG60" s="26" t="str">
        <f aca="false">IF(OR(P60="",$E60="",N($E60)&lt;=0),"",(P60-ABS(N($F60)))/$E60)</f>
        <v/>
      </c>
      <c r="AH60" s="26" t="str">
        <f aca="false">IF(OR(Q60="",$E60="",N($E60)&lt;=0),"",(Q60-ABS(N($F60)))/$E60)</f>
        <v/>
      </c>
      <c r="AI60" s="26" t="n">
        <f aca="false">IF(OR(R60="",$E60="",N($E60)&lt;=0),"",(R60-ABS(N($F60)))/$E60)</f>
        <v>10.1862433862434</v>
      </c>
      <c r="AJ60" s="26" t="str">
        <f aca="false">IF(OR(S60="",$E60="",N($E60)&lt;=0),"",(S60-ABS(N($F60)))/$E60)</f>
        <v/>
      </c>
      <c r="AK60" s="26" t="str">
        <f aca="false">IF(OR(T60="",$E60="",N($E60)&lt;=0),"",(T60-ABS(N($F60)))/$E60)</f>
        <v/>
      </c>
      <c r="AL60" s="26" t="str">
        <f aca="false">IF(OR(U60="",$E60="",N($E60)&lt;=0),"",(U60-ABS(N($F60)))/$E60)</f>
        <v/>
      </c>
      <c r="AM60" s="26" t="str">
        <f aca="false">IF(OR(V60="",$E60="",N($E60)&lt;=0),"",(V60-ABS(N($F60)))/$E60)</f>
        <v/>
      </c>
      <c r="AN60" s="26" t="str">
        <f aca="false">IF(OR(W60="",$E60="",N($E60)&lt;=0),"",(W60-ABS(N($F60)))/$E60)</f>
        <v/>
      </c>
      <c r="AO60" s="26" t="str">
        <f aca="false">IF(OR(X60="",$E60="",N($E60)&lt;=0),"",(X60-ABS(N($F60)))/$E60)</f>
        <v/>
      </c>
      <c r="AP60" s="26" t="str">
        <f aca="false">IF(OR(Y60="",$E60="",N($E60)&lt;=0),"",(Y60-ABS(N($F60)))/$E60)</f>
        <v/>
      </c>
    </row>
    <row r="61" customFormat="false" ht="15" hidden="false" customHeight="true" outlineLevel="0" collapsed="false">
      <c r="A61" s="9" t="s">
        <v>186</v>
      </c>
      <c r="B61" s="11" t="s">
        <v>341</v>
      </c>
      <c r="C61" s="11" t="s">
        <v>343</v>
      </c>
      <c r="D61" s="21" t="n">
        <v>73.7571</v>
      </c>
      <c r="E61" s="22" t="n">
        <v>2.875</v>
      </c>
      <c r="F61" s="22" t="n">
        <v>0.089</v>
      </c>
      <c r="G61" s="23" t="n">
        <v>1162</v>
      </c>
      <c r="H61" s="11" t="s">
        <v>331</v>
      </c>
      <c r="I61" s="24" t="n">
        <f aca="false">MATCH(A61,'TEa input'!$A$6:$A$68,0)</f>
        <v>27</v>
      </c>
      <c r="J61" s="25" t="str">
        <f aca="false">IF(INDEX('TEa input'!$E$6:$E$68,$I61)="","",INDEX('TEa input'!$E$6:$E$68,$I61))</f>
        <v/>
      </c>
      <c r="K61" s="25" t="n">
        <f aca="false">IF(INDEX('TEa input'!$G$6:$G$68,$I61)="","",INDEX('TEa input'!$G$6:$G$68,$I61))</f>
        <v>30</v>
      </c>
      <c r="L61" s="25" t="n">
        <f aca="false">IF(INDEX('TEa input'!$I$6:$I$68,$I61)="","",INDEX('TEa input'!$I$6:$I$68,$I61))</f>
        <v>13.5</v>
      </c>
      <c r="M61" s="25" t="str">
        <f aca="false">IF(INDEX('TEa input'!$K$6:$K$68,$I61)="","",INDEX('TEa input'!$K$6:$K$68,$I61))</f>
        <v/>
      </c>
      <c r="N61" s="25" t="n">
        <f aca="false">IF(INDEX('TEa input'!$M$6:$M$68,$I61)="","",INDEX('TEa input'!$M$6:$M$68,$I61))</f>
        <v>20</v>
      </c>
      <c r="O61" s="25" t="str">
        <f aca="false">IF(INDEX('TEa input'!$O$6:$O$68,$I61)="","",INDEX('TEa input'!$O$6:$O$68,$I61))</f>
        <v/>
      </c>
      <c r="P61" s="25" t="str">
        <f aca="false">IF(INDEX('TEa input'!$Q$6:$Q$68,$I61)="","",INDEX('TEa input'!$Q$6:$Q$68,$I61))</f>
        <v/>
      </c>
      <c r="Q61" s="25" t="str">
        <f aca="false">IF(INDEX('TEa input'!$R$6:$R$68,$I61)="","",INDEX('TEa input'!$R$6:$R$68,$I61))</f>
        <v/>
      </c>
      <c r="R61" s="25" t="n">
        <f aca="false">IF(INDEX('TEa input'!$T$6:$T$68,$I61)="","",INDEX('TEa input'!$T$6:$T$68,$I61))</f>
        <v>20</v>
      </c>
      <c r="S61" s="25" t="str">
        <f aca="false">IF(INDEX('TEa input'!$Y$6:$Y$68,$I61)="","",INDEX('TEa input'!$Y$6:$Y$68,$I61))</f>
        <v/>
      </c>
      <c r="T61" s="25" t="str">
        <f aca="false">IF(INDEX('TEa input'!$Z$6:$Z$68,$I61)="","",INDEX('TEa input'!$Z$6:$Z$68,$I61))</f>
        <v/>
      </c>
      <c r="U61" s="25" t="str">
        <f aca="false">IF(INDEX('TEa input'!$AA$6:$AA$68,$I61)="","",INDEX('TEa input'!$AA$6:$AA$68,$I61))</f>
        <v/>
      </c>
      <c r="V61" s="25" t="str">
        <f aca="false">IF(INDEX('TEa input'!$AB$6:$AB$68,$I61)="","",INDEX('TEa input'!$AB$6:$AB$68,$I61))</f>
        <v/>
      </c>
      <c r="W61" s="25" t="str">
        <f aca="false">IF(INDEX('TEa input'!$AC$6:$AC$68,$I61)="","",INDEX('TEa input'!$AC$6:$AC$68,$I61))</f>
        <v/>
      </c>
      <c r="X61" s="25" t="str">
        <f aca="false">IF(INDEX('TEa input'!$AD$6:$AD$68,$I61)="","",INDEX('TEa input'!$AD$6:$AD$68,$I61))</f>
        <v/>
      </c>
      <c r="Y61" s="25" t="str">
        <f aca="false">IF(INDEX('TEa input'!$AF$6:$AF$68,$I61)="","",INDEX('TEa input'!$AF$6:$AF$68,$I61))</f>
        <v/>
      </c>
      <c r="AA61" s="26" t="str">
        <f aca="false">IF(OR(J61="",$E61="",N($E61)&lt;=0),"",(J61-ABS(N($F61)))/$E61)</f>
        <v/>
      </c>
      <c r="AB61" s="26" t="n">
        <f aca="false">IF(OR(K61="",$E61="",N($E61)&lt;=0),"",(K61-ABS(N($F61)))/$E61)</f>
        <v>10.4038260869565</v>
      </c>
      <c r="AC61" s="26" t="n">
        <f aca="false">IF(OR(L61="",$E61="",N($E61)&lt;=0),"",(L61-ABS(N($F61)))/$E61)</f>
        <v>4.66469565217391</v>
      </c>
      <c r="AD61" s="26" t="str">
        <f aca="false">IF(OR(M61="",$E61="",N($E61)&lt;=0),"",(M61-ABS(N($F61)))/$E61)</f>
        <v/>
      </c>
      <c r="AE61" s="26" t="n">
        <f aca="false">IF(OR(N61="",$E61="",N($E61)&lt;=0),"",(N61-ABS(N($F61)))/$E61)</f>
        <v>6.92556521739131</v>
      </c>
      <c r="AF61" s="26" t="str">
        <f aca="false">IF(OR(O61="",$E61="",N($E61)&lt;=0),"",(O61-ABS(N($F61)))/$E61)</f>
        <v/>
      </c>
      <c r="AG61" s="26" t="str">
        <f aca="false">IF(OR(P61="",$E61="",N($E61)&lt;=0),"",(P61-ABS(N($F61)))/$E61)</f>
        <v/>
      </c>
      <c r="AH61" s="26" t="str">
        <f aca="false">IF(OR(Q61="",$E61="",N($E61)&lt;=0),"",(Q61-ABS(N($F61)))/$E61)</f>
        <v/>
      </c>
      <c r="AI61" s="26" t="n">
        <f aca="false">IF(OR(R61="",$E61="",N($E61)&lt;=0),"",(R61-ABS(N($F61)))/$E61)</f>
        <v>6.92556521739131</v>
      </c>
      <c r="AJ61" s="26" t="str">
        <f aca="false">IF(OR(S61="",$E61="",N($E61)&lt;=0),"",(S61-ABS(N($F61)))/$E61)</f>
        <v/>
      </c>
      <c r="AK61" s="26" t="str">
        <f aca="false">IF(OR(T61="",$E61="",N($E61)&lt;=0),"",(T61-ABS(N($F61)))/$E61)</f>
        <v/>
      </c>
      <c r="AL61" s="26" t="str">
        <f aca="false">IF(OR(U61="",$E61="",N($E61)&lt;=0),"",(U61-ABS(N($F61)))/$E61)</f>
        <v/>
      </c>
      <c r="AM61" s="26" t="str">
        <f aca="false">IF(OR(V61="",$E61="",N($E61)&lt;=0),"",(V61-ABS(N($F61)))/$E61)</f>
        <v/>
      </c>
      <c r="AN61" s="26" t="str">
        <f aca="false">IF(OR(W61="",$E61="",N($E61)&lt;=0),"",(W61-ABS(N($F61)))/$E61)</f>
        <v/>
      </c>
      <c r="AO61" s="26" t="str">
        <f aca="false">IF(OR(X61="",$E61="",N($E61)&lt;=0),"",(X61-ABS(N($F61)))/$E61)</f>
        <v/>
      </c>
      <c r="AP61" s="26" t="str">
        <f aca="false">IF(OR(Y61="",$E61="",N($E61)&lt;=0),"",(Y61-ABS(N($F61)))/$E61)</f>
        <v/>
      </c>
    </row>
    <row r="62" customFormat="false" ht="15" hidden="false" customHeight="true" outlineLevel="0" collapsed="false">
      <c r="A62" s="9" t="s">
        <v>190</v>
      </c>
      <c r="B62" s="11" t="s">
        <v>326</v>
      </c>
      <c r="C62" s="11" t="s">
        <v>327</v>
      </c>
      <c r="D62" s="21" t="n">
        <v>3.34719</v>
      </c>
      <c r="E62" s="22" t="n">
        <v>1.244</v>
      </c>
      <c r="F62" s="22" t="n">
        <v>0.251</v>
      </c>
      <c r="G62" s="23" t="n">
        <v>900</v>
      </c>
      <c r="H62" s="11" t="s">
        <v>340</v>
      </c>
      <c r="I62" s="24" t="n">
        <f aca="false">MATCH(A62,'TEa input'!$A$6:$A$68,0)</f>
        <v>28</v>
      </c>
      <c r="J62" s="25" t="n">
        <f aca="false">IF(INDEX('TEa input'!$E$6:$E$68,$I62)="","",INDEX('TEa input'!$E$6:$E$68,$I62))</f>
        <v>5</v>
      </c>
      <c r="K62" s="25" t="n">
        <f aca="false">IF(INDEX('TEa input'!$G$6:$G$68,$I62)="","",INDEX('TEa input'!$G$6:$G$68,$I62))</f>
        <v>10</v>
      </c>
      <c r="L62" s="25" t="n">
        <f aca="false">IF(INDEX('TEa input'!$I$6:$I$68,$I62)="","",INDEX('TEa input'!$I$6:$I$68,$I62))</f>
        <v>7</v>
      </c>
      <c r="M62" s="25" t="str">
        <f aca="false">IF(INDEX('TEa input'!$K$6:$K$68,$I62)="","",INDEX('TEa input'!$K$6:$K$68,$I62))</f>
        <v/>
      </c>
      <c r="N62" s="25" t="n">
        <f aca="false">IF(INDEX('TEa input'!$M$6:$M$68,$I62)="","",INDEX('TEa input'!$M$6:$M$68,$I62))</f>
        <v>6</v>
      </c>
      <c r="O62" s="25" t="n">
        <f aca="false">IF(INDEX('TEa input'!$O$6:$O$68,$I62)="","",INDEX('TEa input'!$O$6:$O$68,$I62))</f>
        <v>9</v>
      </c>
      <c r="P62" s="25" t="n">
        <f aca="false">IF(INDEX('TEa input'!$Q$6:$Q$68,$I62)="","",INDEX('TEa input'!$Q$6:$Q$68,$I62))</f>
        <v>8.5</v>
      </c>
      <c r="Q62" s="25" t="n">
        <f aca="false">IF(INDEX('TEa input'!$R$6:$R$68,$I62)="","",INDEX('TEa input'!$R$6:$R$68,$I62))</f>
        <v>6.5</v>
      </c>
      <c r="R62" s="25" t="n">
        <f aca="false">IF(INDEX('TEa input'!$T$6:$T$68,$I62)="","",INDEX('TEa input'!$T$6:$T$68,$I62))</f>
        <v>13</v>
      </c>
      <c r="S62" s="25" t="str">
        <f aca="false">IF(INDEX('TEa input'!$Y$6:$Y$68,$I62)="","",INDEX('TEa input'!$Y$6:$Y$68,$I62))</f>
        <v/>
      </c>
      <c r="T62" s="25" t="str">
        <f aca="false">IF(INDEX('TEa input'!$Z$6:$Z$68,$I62)="","",INDEX('TEa input'!$Z$6:$Z$68,$I62))</f>
        <v/>
      </c>
      <c r="U62" s="25" t="str">
        <f aca="false">IF(INDEX('TEa input'!$AA$6:$AA$68,$I62)="","",INDEX('TEa input'!$AA$6:$AA$68,$I62))</f>
        <v/>
      </c>
      <c r="V62" s="25" t="str">
        <f aca="false">IF(INDEX('TEa input'!$AB$6:$AB$68,$I62)="","",INDEX('TEa input'!$AB$6:$AB$68,$I62))</f>
        <v/>
      </c>
      <c r="W62" s="25" t="n">
        <f aca="false">IF(INDEX('TEa input'!$AC$6:$AC$68,$I62)="","",INDEX('TEa input'!$AC$6:$AC$68,$I62))</f>
        <v>9.01</v>
      </c>
      <c r="X62" s="25" t="str">
        <f aca="false">IF(INDEX('TEa input'!$AD$6:$AD$68,$I62)="","",INDEX('TEa input'!$AD$6:$AD$68,$I62))</f>
        <v/>
      </c>
      <c r="Y62" s="25" t="str">
        <f aca="false">IF(INDEX('TEa input'!$AF$6:$AF$68,$I62)="","",INDEX('TEa input'!$AF$6:$AF$68,$I62))</f>
        <v/>
      </c>
      <c r="AA62" s="26" t="n">
        <f aca="false">IF(OR(J62="",$E62="",N($E62)&lt;=0),"",(J62-ABS(N($F62)))/$E62)</f>
        <v>3.81752411575563</v>
      </c>
      <c r="AB62" s="26" t="n">
        <f aca="false">IF(OR(K62="",$E62="",N($E62)&lt;=0),"",(K62-ABS(N($F62)))/$E62)</f>
        <v>7.83681672025724</v>
      </c>
      <c r="AC62" s="26" t="n">
        <f aca="false">IF(OR(L62="",$E62="",N($E62)&lt;=0),"",(L62-ABS(N($F62)))/$E62)</f>
        <v>5.42524115755627</v>
      </c>
      <c r="AD62" s="26" t="str">
        <f aca="false">IF(OR(M62="",$E62="",N($E62)&lt;=0),"",(M62-ABS(N($F62)))/$E62)</f>
        <v/>
      </c>
      <c r="AE62" s="26" t="n">
        <f aca="false">IF(OR(N62="",$E62="",N($E62)&lt;=0),"",(N62-ABS(N($F62)))/$E62)</f>
        <v>4.62138263665595</v>
      </c>
      <c r="AF62" s="26" t="n">
        <f aca="false">IF(OR(O62="",$E62="",N($E62)&lt;=0),"",(O62-ABS(N($F62)))/$E62)</f>
        <v>7.03295819935691</v>
      </c>
      <c r="AG62" s="26" t="n">
        <f aca="false">IF(OR(P62="",$E62="",N($E62)&lt;=0),"",(P62-ABS(N($F62)))/$E62)</f>
        <v>6.63102893890675</v>
      </c>
      <c r="AH62" s="26" t="n">
        <f aca="false">IF(OR(Q62="",$E62="",N($E62)&lt;=0),"",(Q62-ABS(N($F62)))/$E62)</f>
        <v>5.02331189710611</v>
      </c>
      <c r="AI62" s="26" t="n">
        <f aca="false">IF(OR(R62="",$E62="",N($E62)&lt;=0),"",(R62-ABS(N($F62)))/$E62)</f>
        <v>10.2483922829582</v>
      </c>
      <c r="AJ62" s="26" t="str">
        <f aca="false">IF(OR(S62="",$E62="",N($E62)&lt;=0),"",(S62-ABS(N($F62)))/$E62)</f>
        <v/>
      </c>
      <c r="AK62" s="26" t="str">
        <f aca="false">IF(OR(T62="",$E62="",N($E62)&lt;=0),"",(T62-ABS(N($F62)))/$E62)</f>
        <v/>
      </c>
      <c r="AL62" s="26" t="str">
        <f aca="false">IF(OR(U62="",$E62="",N($E62)&lt;=0),"",(U62-ABS(N($F62)))/$E62)</f>
        <v/>
      </c>
      <c r="AM62" s="26" t="str">
        <f aca="false">IF(OR(V62="",$E62="",N($E62)&lt;=0),"",(V62-ABS(N($F62)))/$E62)</f>
        <v/>
      </c>
      <c r="AN62" s="26" t="n">
        <f aca="false">IF(OR(W62="",$E62="",N($E62)&lt;=0),"",(W62-ABS(N($F62)))/$E62)</f>
        <v>7.04099678456592</v>
      </c>
      <c r="AO62" s="26" t="str">
        <f aca="false">IF(OR(X62="",$E62="",N($E62)&lt;=0),"",(X62-ABS(N($F62)))/$E62)</f>
        <v/>
      </c>
      <c r="AP62" s="26" t="str">
        <f aca="false">IF(OR(Y62="",$E62="",N($E62)&lt;=0),"",(Y62-ABS(N($F62)))/$E62)</f>
        <v/>
      </c>
    </row>
    <row r="63" customFormat="false" ht="15" hidden="false" customHeight="true" outlineLevel="0" collapsed="false">
      <c r="A63" s="9" t="s">
        <v>190</v>
      </c>
      <c r="B63" s="11" t="s">
        <v>329</v>
      </c>
      <c r="C63" s="11" t="s">
        <v>330</v>
      </c>
      <c r="D63" s="21" t="n">
        <v>5.4807</v>
      </c>
      <c r="E63" s="22" t="n">
        <v>1.18</v>
      </c>
      <c r="F63" s="22" t="n">
        <v>0.245</v>
      </c>
      <c r="G63" s="23" t="n">
        <v>899</v>
      </c>
      <c r="H63" s="11" t="s">
        <v>340</v>
      </c>
      <c r="I63" s="24" t="n">
        <f aca="false">MATCH(A63,'TEa input'!$A$6:$A$68,0)</f>
        <v>28</v>
      </c>
      <c r="J63" s="25" t="n">
        <f aca="false">IF(INDEX('TEa input'!$E$6:$E$68,$I63)="","",INDEX('TEa input'!$E$6:$E$68,$I63))</f>
        <v>5</v>
      </c>
      <c r="K63" s="25" t="n">
        <f aca="false">IF(INDEX('TEa input'!$G$6:$G$68,$I63)="","",INDEX('TEa input'!$G$6:$G$68,$I63))</f>
        <v>10</v>
      </c>
      <c r="L63" s="25" t="n">
        <f aca="false">IF(INDEX('TEa input'!$I$6:$I$68,$I63)="","",INDEX('TEa input'!$I$6:$I$68,$I63))</f>
        <v>7</v>
      </c>
      <c r="M63" s="25" t="str">
        <f aca="false">IF(INDEX('TEa input'!$K$6:$K$68,$I63)="","",INDEX('TEa input'!$K$6:$K$68,$I63))</f>
        <v/>
      </c>
      <c r="N63" s="25" t="n">
        <f aca="false">IF(INDEX('TEa input'!$M$6:$M$68,$I63)="","",INDEX('TEa input'!$M$6:$M$68,$I63))</f>
        <v>6</v>
      </c>
      <c r="O63" s="25" t="n">
        <f aca="false">IF(INDEX('TEa input'!$O$6:$O$68,$I63)="","",INDEX('TEa input'!$O$6:$O$68,$I63))</f>
        <v>9</v>
      </c>
      <c r="P63" s="25" t="n">
        <f aca="false">IF(INDEX('TEa input'!$Q$6:$Q$68,$I63)="","",INDEX('TEa input'!$Q$6:$Q$68,$I63))</f>
        <v>8.5</v>
      </c>
      <c r="Q63" s="25" t="n">
        <f aca="false">IF(INDEX('TEa input'!$R$6:$R$68,$I63)="","",INDEX('TEa input'!$R$6:$R$68,$I63))</f>
        <v>6.5</v>
      </c>
      <c r="R63" s="25" t="n">
        <f aca="false">IF(INDEX('TEa input'!$T$6:$T$68,$I63)="","",INDEX('TEa input'!$T$6:$T$68,$I63))</f>
        <v>13</v>
      </c>
      <c r="S63" s="25" t="str">
        <f aca="false">IF(INDEX('TEa input'!$Y$6:$Y$68,$I63)="","",INDEX('TEa input'!$Y$6:$Y$68,$I63))</f>
        <v/>
      </c>
      <c r="T63" s="25" t="str">
        <f aca="false">IF(INDEX('TEa input'!$Z$6:$Z$68,$I63)="","",INDEX('TEa input'!$Z$6:$Z$68,$I63))</f>
        <v/>
      </c>
      <c r="U63" s="25" t="str">
        <f aca="false">IF(INDEX('TEa input'!$AA$6:$AA$68,$I63)="","",INDEX('TEa input'!$AA$6:$AA$68,$I63))</f>
        <v/>
      </c>
      <c r="V63" s="25" t="str">
        <f aca="false">IF(INDEX('TEa input'!$AB$6:$AB$68,$I63)="","",INDEX('TEa input'!$AB$6:$AB$68,$I63))</f>
        <v/>
      </c>
      <c r="W63" s="25" t="n">
        <f aca="false">IF(INDEX('TEa input'!$AC$6:$AC$68,$I63)="","",INDEX('TEa input'!$AC$6:$AC$68,$I63))</f>
        <v>9.01</v>
      </c>
      <c r="X63" s="25" t="str">
        <f aca="false">IF(INDEX('TEa input'!$AD$6:$AD$68,$I63)="","",INDEX('TEa input'!$AD$6:$AD$68,$I63))</f>
        <v/>
      </c>
      <c r="Y63" s="25" t="str">
        <f aca="false">IF(INDEX('TEa input'!$AF$6:$AF$68,$I63)="","",INDEX('TEa input'!$AF$6:$AF$68,$I63))</f>
        <v/>
      </c>
      <c r="AA63" s="26" t="n">
        <f aca="false">IF(OR(J63="",$E63="",N($E63)&lt;=0),"",(J63-ABS(N($F63)))/$E63)</f>
        <v>4.02966101694915</v>
      </c>
      <c r="AB63" s="26" t="n">
        <f aca="false">IF(OR(K63="",$E63="",N($E63)&lt;=0),"",(K63-ABS(N($F63)))/$E63)</f>
        <v>8.26694915254237</v>
      </c>
      <c r="AC63" s="26" t="n">
        <f aca="false">IF(OR(L63="",$E63="",N($E63)&lt;=0),"",(L63-ABS(N($F63)))/$E63)</f>
        <v>5.72457627118644</v>
      </c>
      <c r="AD63" s="26" t="str">
        <f aca="false">IF(OR(M63="",$E63="",N($E63)&lt;=0),"",(M63-ABS(N($F63)))/$E63)</f>
        <v/>
      </c>
      <c r="AE63" s="26" t="n">
        <f aca="false">IF(OR(N63="",$E63="",N($E63)&lt;=0),"",(N63-ABS(N($F63)))/$E63)</f>
        <v>4.8771186440678</v>
      </c>
      <c r="AF63" s="26" t="n">
        <f aca="false">IF(OR(O63="",$E63="",N($E63)&lt;=0),"",(O63-ABS(N($F63)))/$E63)</f>
        <v>7.41949152542373</v>
      </c>
      <c r="AG63" s="26" t="n">
        <f aca="false">IF(OR(P63="",$E63="",N($E63)&lt;=0),"",(P63-ABS(N($F63)))/$E63)</f>
        <v>6.99576271186441</v>
      </c>
      <c r="AH63" s="26" t="n">
        <f aca="false">IF(OR(Q63="",$E63="",N($E63)&lt;=0),"",(Q63-ABS(N($F63)))/$E63)</f>
        <v>5.30084745762712</v>
      </c>
      <c r="AI63" s="26" t="n">
        <f aca="false">IF(OR(R63="",$E63="",N($E63)&lt;=0),"",(R63-ABS(N($F63)))/$E63)</f>
        <v>10.8093220338983</v>
      </c>
      <c r="AJ63" s="26" t="str">
        <f aca="false">IF(OR(S63="",$E63="",N($E63)&lt;=0),"",(S63-ABS(N($F63)))/$E63)</f>
        <v/>
      </c>
      <c r="AK63" s="26" t="str">
        <f aca="false">IF(OR(T63="",$E63="",N($E63)&lt;=0),"",(T63-ABS(N($F63)))/$E63)</f>
        <v/>
      </c>
      <c r="AL63" s="26" t="str">
        <f aca="false">IF(OR(U63="",$E63="",N($E63)&lt;=0),"",(U63-ABS(N($F63)))/$E63)</f>
        <v/>
      </c>
      <c r="AM63" s="26" t="str">
        <f aca="false">IF(OR(V63="",$E63="",N($E63)&lt;=0),"",(V63-ABS(N($F63)))/$E63)</f>
        <v/>
      </c>
      <c r="AN63" s="26" t="n">
        <f aca="false">IF(OR(W63="",$E63="",N($E63)&lt;=0),"",(W63-ABS(N($F63)))/$E63)</f>
        <v>7.42796610169492</v>
      </c>
      <c r="AO63" s="26" t="str">
        <f aca="false">IF(OR(X63="",$E63="",N($E63)&lt;=0),"",(X63-ABS(N($F63)))/$E63)</f>
        <v/>
      </c>
      <c r="AP63" s="26" t="str">
        <f aca="false">IF(OR(Y63="",$E63="",N($E63)&lt;=0),"",(Y63-ABS(N($F63)))/$E63)</f>
        <v/>
      </c>
    </row>
    <row r="64" customFormat="false" ht="15" hidden="false" customHeight="true" outlineLevel="0" collapsed="false">
      <c r="A64" s="9" t="s">
        <v>193</v>
      </c>
      <c r="B64" s="11" t="s">
        <v>326</v>
      </c>
      <c r="C64" s="11" t="s">
        <v>327</v>
      </c>
      <c r="D64" s="21" t="n">
        <v>0.896388</v>
      </c>
      <c r="E64" s="22" t="n">
        <v>2.492</v>
      </c>
      <c r="F64" s="22" t="n">
        <v>0.432</v>
      </c>
      <c r="G64" s="23" t="n">
        <v>961</v>
      </c>
      <c r="H64" s="11" t="s">
        <v>340</v>
      </c>
      <c r="I64" s="24" t="n">
        <f aca="false">MATCH(A64,'TEa input'!$A$6:$A$68,0)</f>
        <v>29</v>
      </c>
      <c r="J64" s="25" t="n">
        <f aca="false">IF(INDEX('TEa input'!$E$6:$E$68,$I64)="","",INDEX('TEa input'!$E$6:$E$68,$I64))</f>
        <v>10</v>
      </c>
      <c r="K64" s="25" t="n">
        <f aca="false">IF(INDEX('TEa input'!$G$6:$G$68,$I64)="","",INDEX('TEa input'!$G$6:$G$68,$I64))</f>
        <v>20</v>
      </c>
      <c r="L64" s="25" t="n">
        <f aca="false">IF(INDEX('TEa input'!$I$6:$I$68,$I64)="","",INDEX('TEa input'!$I$6:$I$68,$I64))</f>
        <v>13</v>
      </c>
      <c r="M64" s="25" t="str">
        <f aca="false">IF(INDEX('TEa input'!$K$6:$K$68,$I64)="","",INDEX('TEa input'!$K$6:$K$68,$I64))</f>
        <v/>
      </c>
      <c r="N64" s="25" t="n">
        <f aca="false">IF(INDEX('TEa input'!$M$6:$M$68,$I64)="","",INDEX('TEa input'!$M$6:$M$68,$I64))</f>
        <v>12</v>
      </c>
      <c r="O64" s="25" t="n">
        <f aca="false">IF(INDEX('TEa input'!$O$6:$O$68,$I64)="","",INDEX('TEa input'!$O$6:$O$68,$I64))</f>
        <v>20</v>
      </c>
      <c r="P64" s="25" t="n">
        <f aca="false">IF(INDEX('TEa input'!$Q$6:$Q$68,$I64)="","",INDEX('TEa input'!$Q$6:$Q$68,$I64))</f>
        <v>15</v>
      </c>
      <c r="Q64" s="25" t="n">
        <f aca="false">IF(INDEX('TEa input'!$R$6:$R$68,$I64)="","",INDEX('TEa input'!$R$6:$R$68,$I64))</f>
        <v>15.3</v>
      </c>
      <c r="R64" s="25" t="n">
        <f aca="false">IF(INDEX('TEa input'!$T$6:$T$68,$I64)="","",INDEX('TEa input'!$T$6:$T$68,$I64))</f>
        <v>20</v>
      </c>
      <c r="S64" s="25" t="str">
        <f aca="false">IF(INDEX('TEa input'!$Y$6:$Y$68,$I64)="","",INDEX('TEa input'!$Y$6:$Y$68,$I64))</f>
        <v/>
      </c>
      <c r="T64" s="25" t="str">
        <f aca="false">IF(INDEX('TEa input'!$Z$6:$Z$68,$I64)="","",INDEX('TEa input'!$Z$6:$Z$68,$I64))</f>
        <v/>
      </c>
      <c r="U64" s="25" t="str">
        <f aca="false">IF(INDEX('TEa input'!$AA$6:$AA$68,$I64)="","",INDEX('TEa input'!$AA$6:$AA$68,$I64))</f>
        <v/>
      </c>
      <c r="V64" s="25" t="str">
        <f aca="false">IF(INDEX('TEa input'!$AB$6:$AB$68,$I64)="","",INDEX('TEa input'!$AB$6:$AB$68,$I64))</f>
        <v/>
      </c>
      <c r="W64" s="25" t="n">
        <f aca="false">IF(INDEX('TEa input'!$AC$6:$AC$68,$I64)="","",INDEX('TEa input'!$AC$6:$AC$68,$I64))</f>
        <v>11.63</v>
      </c>
      <c r="X64" s="25" t="str">
        <f aca="false">IF(INDEX('TEa input'!$AD$6:$AD$68,$I64)="","",INDEX('TEa input'!$AD$6:$AD$68,$I64))</f>
        <v/>
      </c>
      <c r="Y64" s="25" t="str">
        <f aca="false">IF(INDEX('TEa input'!$AF$6:$AF$68,$I64)="","",INDEX('TEa input'!$AF$6:$AF$68,$I64))</f>
        <v/>
      </c>
      <c r="AA64" s="26" t="n">
        <f aca="false">IF(OR(J64="",$E64="",N($E64)&lt;=0),"",(J64-ABS(N($F64)))/$E64)</f>
        <v>3.83948635634029</v>
      </c>
      <c r="AB64" s="26" t="n">
        <f aca="false">IF(OR(K64="",$E64="",N($E64)&lt;=0),"",(K64-ABS(N($F64)))/$E64)</f>
        <v>7.85232744783307</v>
      </c>
      <c r="AC64" s="26" t="n">
        <f aca="false">IF(OR(L64="",$E64="",N($E64)&lt;=0),"",(L64-ABS(N($F64)))/$E64)</f>
        <v>5.04333868378812</v>
      </c>
      <c r="AD64" s="26" t="str">
        <f aca="false">IF(OR(M64="",$E64="",N($E64)&lt;=0),"",(M64-ABS(N($F64)))/$E64)</f>
        <v/>
      </c>
      <c r="AE64" s="26" t="n">
        <f aca="false">IF(OR(N64="",$E64="",N($E64)&lt;=0),"",(N64-ABS(N($F64)))/$E64)</f>
        <v>4.64205457463884</v>
      </c>
      <c r="AF64" s="26" t="n">
        <f aca="false">IF(OR(O64="",$E64="",N($E64)&lt;=0),"",(O64-ABS(N($F64)))/$E64)</f>
        <v>7.85232744783307</v>
      </c>
      <c r="AG64" s="26" t="n">
        <f aca="false">IF(OR(P64="",$E64="",N($E64)&lt;=0),"",(P64-ABS(N($F64)))/$E64)</f>
        <v>5.84590690208668</v>
      </c>
      <c r="AH64" s="26" t="n">
        <f aca="false">IF(OR(Q64="",$E64="",N($E64)&lt;=0),"",(Q64-ABS(N($F64)))/$E64)</f>
        <v>5.96629213483146</v>
      </c>
      <c r="AI64" s="26" t="n">
        <f aca="false">IF(OR(R64="",$E64="",N($E64)&lt;=0),"",(R64-ABS(N($F64)))/$E64)</f>
        <v>7.85232744783307</v>
      </c>
      <c r="AJ64" s="26" t="str">
        <f aca="false">IF(OR(S64="",$E64="",N($E64)&lt;=0),"",(S64-ABS(N($F64)))/$E64)</f>
        <v/>
      </c>
      <c r="AK64" s="26" t="str">
        <f aca="false">IF(OR(T64="",$E64="",N($E64)&lt;=0),"",(T64-ABS(N($F64)))/$E64)</f>
        <v/>
      </c>
      <c r="AL64" s="26" t="str">
        <f aca="false">IF(OR(U64="",$E64="",N($E64)&lt;=0),"",(U64-ABS(N($F64)))/$E64)</f>
        <v/>
      </c>
      <c r="AM64" s="26" t="str">
        <f aca="false">IF(OR(V64="",$E64="",N($E64)&lt;=0),"",(V64-ABS(N($F64)))/$E64)</f>
        <v/>
      </c>
      <c r="AN64" s="26" t="n">
        <f aca="false">IF(OR(W64="",$E64="",N($E64)&lt;=0),"",(W64-ABS(N($F64)))/$E64)</f>
        <v>4.49357945425361</v>
      </c>
      <c r="AO64" s="26" t="str">
        <f aca="false">IF(OR(X64="",$E64="",N($E64)&lt;=0),"",(X64-ABS(N($F64)))/$E64)</f>
        <v/>
      </c>
      <c r="AP64" s="26" t="str">
        <f aca="false">IF(OR(Y64="",$E64="",N($E64)&lt;=0),"",(Y64-ABS(N($F64)))/$E64)</f>
        <v/>
      </c>
    </row>
    <row r="65" customFormat="false" ht="15" hidden="false" customHeight="true" outlineLevel="0" collapsed="false">
      <c r="A65" s="9" t="s">
        <v>193</v>
      </c>
      <c r="B65" s="11" t="s">
        <v>329</v>
      </c>
      <c r="C65" s="11" t="s">
        <v>330</v>
      </c>
      <c r="D65" s="21" t="n">
        <v>1.38888</v>
      </c>
      <c r="E65" s="22" t="n">
        <v>2.637</v>
      </c>
      <c r="F65" s="22" t="n">
        <v>0.437</v>
      </c>
      <c r="G65" s="23" t="n">
        <v>961</v>
      </c>
      <c r="H65" s="11" t="s">
        <v>340</v>
      </c>
      <c r="I65" s="24" t="n">
        <f aca="false">MATCH(A65,'TEa input'!$A$6:$A$68,0)</f>
        <v>29</v>
      </c>
      <c r="J65" s="25" t="n">
        <f aca="false">IF(INDEX('TEa input'!$E$6:$E$68,$I65)="","",INDEX('TEa input'!$E$6:$E$68,$I65))</f>
        <v>10</v>
      </c>
      <c r="K65" s="25" t="n">
        <f aca="false">IF(INDEX('TEa input'!$G$6:$G$68,$I65)="","",INDEX('TEa input'!$G$6:$G$68,$I65))</f>
        <v>20</v>
      </c>
      <c r="L65" s="25" t="n">
        <f aca="false">IF(INDEX('TEa input'!$I$6:$I$68,$I65)="","",INDEX('TEa input'!$I$6:$I$68,$I65))</f>
        <v>13</v>
      </c>
      <c r="M65" s="25" t="str">
        <f aca="false">IF(INDEX('TEa input'!$K$6:$K$68,$I65)="","",INDEX('TEa input'!$K$6:$K$68,$I65))</f>
        <v/>
      </c>
      <c r="N65" s="25" t="n">
        <f aca="false">IF(INDEX('TEa input'!$M$6:$M$68,$I65)="","",INDEX('TEa input'!$M$6:$M$68,$I65))</f>
        <v>12</v>
      </c>
      <c r="O65" s="25" t="n">
        <f aca="false">IF(INDEX('TEa input'!$O$6:$O$68,$I65)="","",INDEX('TEa input'!$O$6:$O$68,$I65))</f>
        <v>20</v>
      </c>
      <c r="P65" s="25" t="n">
        <f aca="false">IF(INDEX('TEa input'!$Q$6:$Q$68,$I65)="","",INDEX('TEa input'!$Q$6:$Q$68,$I65))</f>
        <v>15</v>
      </c>
      <c r="Q65" s="25" t="n">
        <f aca="false">IF(INDEX('TEa input'!$R$6:$R$68,$I65)="","",INDEX('TEa input'!$R$6:$R$68,$I65))</f>
        <v>15.3</v>
      </c>
      <c r="R65" s="25" t="n">
        <f aca="false">IF(INDEX('TEa input'!$T$6:$T$68,$I65)="","",INDEX('TEa input'!$T$6:$T$68,$I65))</f>
        <v>20</v>
      </c>
      <c r="S65" s="25" t="str">
        <f aca="false">IF(INDEX('TEa input'!$Y$6:$Y$68,$I65)="","",INDEX('TEa input'!$Y$6:$Y$68,$I65))</f>
        <v/>
      </c>
      <c r="T65" s="25" t="str">
        <f aca="false">IF(INDEX('TEa input'!$Z$6:$Z$68,$I65)="","",INDEX('TEa input'!$Z$6:$Z$68,$I65))</f>
        <v/>
      </c>
      <c r="U65" s="25" t="str">
        <f aca="false">IF(INDEX('TEa input'!$AA$6:$AA$68,$I65)="","",INDEX('TEa input'!$AA$6:$AA$68,$I65))</f>
        <v/>
      </c>
      <c r="V65" s="25" t="str">
        <f aca="false">IF(INDEX('TEa input'!$AB$6:$AB$68,$I65)="","",INDEX('TEa input'!$AB$6:$AB$68,$I65))</f>
        <v/>
      </c>
      <c r="W65" s="25" t="n">
        <f aca="false">IF(INDEX('TEa input'!$AC$6:$AC$68,$I65)="","",INDEX('TEa input'!$AC$6:$AC$68,$I65))</f>
        <v>11.63</v>
      </c>
      <c r="X65" s="25" t="str">
        <f aca="false">IF(INDEX('TEa input'!$AD$6:$AD$68,$I65)="","",INDEX('TEa input'!$AD$6:$AD$68,$I65))</f>
        <v/>
      </c>
      <c r="Y65" s="25" t="str">
        <f aca="false">IF(INDEX('TEa input'!$AF$6:$AF$68,$I65)="","",INDEX('TEa input'!$AF$6:$AF$68,$I65))</f>
        <v/>
      </c>
      <c r="AA65" s="26" t="n">
        <f aca="false">IF(OR(J65="",$E65="",N($E65)&lt;=0),"",(J65-ABS(N($F65)))/$E65)</f>
        <v>3.62646947288586</v>
      </c>
      <c r="AB65" s="26" t="n">
        <f aca="false">IF(OR(K65="",$E65="",N($E65)&lt;=0),"",(K65-ABS(N($F65)))/$E65)</f>
        <v>7.41865756541524</v>
      </c>
      <c r="AC65" s="26" t="n">
        <f aca="false">IF(OR(L65="",$E65="",N($E65)&lt;=0),"",(L65-ABS(N($F65)))/$E65)</f>
        <v>4.76412590064467</v>
      </c>
      <c r="AD65" s="26" t="str">
        <f aca="false">IF(OR(M65="",$E65="",N($E65)&lt;=0),"",(M65-ABS(N($F65)))/$E65)</f>
        <v/>
      </c>
      <c r="AE65" s="26" t="n">
        <f aca="false">IF(OR(N65="",$E65="",N($E65)&lt;=0),"",(N65-ABS(N($F65)))/$E65)</f>
        <v>4.38490709139173</v>
      </c>
      <c r="AF65" s="26" t="n">
        <f aca="false">IF(OR(O65="",$E65="",N($E65)&lt;=0),"",(O65-ABS(N($F65)))/$E65)</f>
        <v>7.41865756541524</v>
      </c>
      <c r="AG65" s="26" t="n">
        <f aca="false">IF(OR(P65="",$E65="",N($E65)&lt;=0),"",(P65-ABS(N($F65)))/$E65)</f>
        <v>5.52256351915055</v>
      </c>
      <c r="AH65" s="26" t="n">
        <f aca="false">IF(OR(Q65="",$E65="",N($E65)&lt;=0),"",(Q65-ABS(N($F65)))/$E65)</f>
        <v>5.63632916192643</v>
      </c>
      <c r="AI65" s="26" t="n">
        <f aca="false">IF(OR(R65="",$E65="",N($E65)&lt;=0),"",(R65-ABS(N($F65)))/$E65)</f>
        <v>7.41865756541524</v>
      </c>
      <c r="AJ65" s="26" t="str">
        <f aca="false">IF(OR(S65="",$E65="",N($E65)&lt;=0),"",(S65-ABS(N($F65)))/$E65)</f>
        <v/>
      </c>
      <c r="AK65" s="26" t="str">
        <f aca="false">IF(OR(T65="",$E65="",N($E65)&lt;=0),"",(T65-ABS(N($F65)))/$E65)</f>
        <v/>
      </c>
      <c r="AL65" s="26" t="str">
        <f aca="false">IF(OR(U65="",$E65="",N($E65)&lt;=0),"",(U65-ABS(N($F65)))/$E65)</f>
        <v/>
      </c>
      <c r="AM65" s="26" t="str">
        <f aca="false">IF(OR(V65="",$E65="",N($E65)&lt;=0),"",(V65-ABS(N($F65)))/$E65)</f>
        <v/>
      </c>
      <c r="AN65" s="26" t="n">
        <f aca="false">IF(OR(W65="",$E65="",N($E65)&lt;=0),"",(W65-ABS(N($F65)))/$E65)</f>
        <v>4.24459613196815</v>
      </c>
      <c r="AO65" s="26" t="str">
        <f aca="false">IF(OR(X65="",$E65="",N($E65)&lt;=0),"",(X65-ABS(N($F65)))/$E65)</f>
        <v/>
      </c>
      <c r="AP65" s="26" t="str">
        <f aca="false">IF(OR(Y65="",$E65="",N($E65)&lt;=0),"",(Y65-ABS(N($F65)))/$E65)</f>
        <v/>
      </c>
    </row>
    <row r="66" customFormat="false" ht="15" hidden="false" customHeight="true" outlineLevel="0" collapsed="false">
      <c r="A66" s="9" t="s">
        <v>196</v>
      </c>
      <c r="B66" s="11" t="s">
        <v>326</v>
      </c>
      <c r="C66" s="11" t="s">
        <v>327</v>
      </c>
      <c r="D66" s="21" t="n">
        <v>1.84818</v>
      </c>
      <c r="E66" s="22" t="n">
        <v>1.958</v>
      </c>
      <c r="F66" s="22" t="n">
        <v>1.061</v>
      </c>
      <c r="G66" s="23" t="n">
        <v>1003</v>
      </c>
      <c r="H66" s="11" t="s">
        <v>340</v>
      </c>
      <c r="I66" s="24" t="n">
        <f aca="false">MATCH(A66,'TEa input'!$A$6:$A$68,0)</f>
        <v>30</v>
      </c>
      <c r="J66" s="25" t="n">
        <f aca="false">IF(INDEX('TEa input'!$E$6:$E$68,$I66)="","",INDEX('TEa input'!$E$6:$E$68,$I66))</f>
        <v>10</v>
      </c>
      <c r="K66" s="25" t="n">
        <f aca="false">IF(INDEX('TEa input'!$G$6:$G$68,$I66)="","",INDEX('TEa input'!$G$6:$G$68,$I66))</f>
        <v>20</v>
      </c>
      <c r="L66" s="25" t="n">
        <f aca="false">IF(INDEX('TEa input'!$I$6:$I$68,$I66)="","",INDEX('TEa input'!$I$6:$I$68,$I66))</f>
        <v>9</v>
      </c>
      <c r="M66" s="25" t="str">
        <f aca="false">IF(INDEX('TEa input'!$K$6:$K$68,$I66)="","",INDEX('TEa input'!$K$6:$K$68,$I66))</f>
        <v/>
      </c>
      <c r="N66" s="25" t="n">
        <f aca="false">IF(INDEX('TEa input'!$M$6:$M$68,$I66)="","",INDEX('TEa input'!$M$6:$M$68,$I66))</f>
        <v>10</v>
      </c>
      <c r="O66" s="25" t="n">
        <f aca="false">IF(INDEX('TEa input'!$O$6:$O$68,$I66)="","",INDEX('TEa input'!$O$6:$O$68,$I66))</f>
        <v>20</v>
      </c>
      <c r="P66" s="25" t="str">
        <f aca="false">IF(INDEX('TEa input'!$Q$6:$Q$68,$I66)="","",INDEX('TEa input'!$Q$6:$Q$68,$I66))</f>
        <v/>
      </c>
      <c r="Q66" s="25" t="str">
        <f aca="false">IF(INDEX('TEa input'!$R$6:$R$68,$I66)="","",INDEX('TEa input'!$R$6:$R$68,$I66))</f>
        <v/>
      </c>
      <c r="R66" s="25" t="n">
        <f aca="false">IF(INDEX('TEa input'!$T$6:$T$68,$I66)="","",INDEX('TEa input'!$T$6:$T$68,$I66))</f>
        <v>20</v>
      </c>
      <c r="S66" s="25" t="str">
        <f aca="false">IF(INDEX('TEa input'!$Y$6:$Y$68,$I66)="","",INDEX('TEa input'!$Y$6:$Y$68,$I66))</f>
        <v/>
      </c>
      <c r="T66" s="25" t="str">
        <f aca="false">IF(INDEX('TEa input'!$Z$6:$Z$68,$I66)="","",INDEX('TEa input'!$Z$6:$Z$68,$I66))</f>
        <v/>
      </c>
      <c r="U66" s="25" t="str">
        <f aca="false">IF(INDEX('TEa input'!$AA$6:$AA$68,$I66)="","",INDEX('TEa input'!$AA$6:$AA$68,$I66))</f>
        <v/>
      </c>
      <c r="V66" s="25" t="str">
        <f aca="false">IF(INDEX('TEa input'!$AB$6:$AB$68,$I66)="","",INDEX('TEa input'!$AB$6:$AB$68,$I66))</f>
        <v/>
      </c>
      <c r="W66" s="25" t="str">
        <f aca="false">IF(INDEX('TEa input'!$AC$6:$AC$68,$I66)="","",INDEX('TEa input'!$AC$6:$AC$68,$I66))</f>
        <v/>
      </c>
      <c r="X66" s="25" t="str">
        <f aca="false">IF(INDEX('TEa input'!$AD$6:$AD$68,$I66)="","",INDEX('TEa input'!$AD$6:$AD$68,$I66))</f>
        <v/>
      </c>
      <c r="Y66" s="25" t="str">
        <f aca="false">IF(INDEX('TEa input'!$AF$6:$AF$68,$I66)="","",INDEX('TEa input'!$AF$6:$AF$68,$I66))</f>
        <v/>
      </c>
      <c r="AA66" s="26" t="n">
        <f aca="false">IF(OR(J66="",$E66="",N($E66)&lt;=0),"",(J66-ABS(N($F66)))/$E66)</f>
        <v>4.56537282941777</v>
      </c>
      <c r="AB66" s="26" t="n">
        <f aca="false">IF(OR(K66="",$E66="",N($E66)&lt;=0),"",(K66-ABS(N($F66)))/$E66)</f>
        <v>9.67262512768131</v>
      </c>
      <c r="AC66" s="26" t="n">
        <f aca="false">IF(OR(L66="",$E66="",N($E66)&lt;=0),"",(L66-ABS(N($F66)))/$E66)</f>
        <v>4.05464759959142</v>
      </c>
      <c r="AD66" s="26" t="str">
        <f aca="false">IF(OR(M66="",$E66="",N($E66)&lt;=0),"",(M66-ABS(N($F66)))/$E66)</f>
        <v/>
      </c>
      <c r="AE66" s="26" t="n">
        <f aca="false">IF(OR(N66="",$E66="",N($E66)&lt;=0),"",(N66-ABS(N($F66)))/$E66)</f>
        <v>4.56537282941777</v>
      </c>
      <c r="AF66" s="26" t="n">
        <f aca="false">IF(OR(O66="",$E66="",N($E66)&lt;=0),"",(O66-ABS(N($F66)))/$E66)</f>
        <v>9.67262512768131</v>
      </c>
      <c r="AG66" s="26" t="str">
        <f aca="false">IF(OR(P66="",$E66="",N($E66)&lt;=0),"",(P66-ABS(N($F66)))/$E66)</f>
        <v/>
      </c>
      <c r="AH66" s="26" t="str">
        <f aca="false">IF(OR(Q66="",$E66="",N($E66)&lt;=0),"",(Q66-ABS(N($F66)))/$E66)</f>
        <v/>
      </c>
      <c r="AI66" s="26" t="n">
        <f aca="false">IF(OR(R66="",$E66="",N($E66)&lt;=0),"",(R66-ABS(N($F66)))/$E66)</f>
        <v>9.67262512768131</v>
      </c>
      <c r="AJ66" s="26" t="str">
        <f aca="false">IF(OR(S66="",$E66="",N($E66)&lt;=0),"",(S66-ABS(N($F66)))/$E66)</f>
        <v/>
      </c>
      <c r="AK66" s="26" t="str">
        <f aca="false">IF(OR(T66="",$E66="",N($E66)&lt;=0),"",(T66-ABS(N($F66)))/$E66)</f>
        <v/>
      </c>
      <c r="AL66" s="26" t="str">
        <f aca="false">IF(OR(U66="",$E66="",N($E66)&lt;=0),"",(U66-ABS(N($F66)))/$E66)</f>
        <v/>
      </c>
      <c r="AM66" s="26" t="str">
        <f aca="false">IF(OR(V66="",$E66="",N($E66)&lt;=0),"",(V66-ABS(N($F66)))/$E66)</f>
        <v/>
      </c>
      <c r="AN66" s="26" t="str">
        <f aca="false">IF(OR(W66="",$E66="",N($E66)&lt;=0),"",(W66-ABS(N($F66)))/$E66)</f>
        <v/>
      </c>
      <c r="AO66" s="26" t="str">
        <f aca="false">IF(OR(X66="",$E66="",N($E66)&lt;=0),"",(X66-ABS(N($F66)))/$E66)</f>
        <v/>
      </c>
      <c r="AP66" s="26" t="str">
        <f aca="false">IF(OR(Y66="",$E66="",N($E66)&lt;=0),"",(Y66-ABS(N($F66)))/$E66)</f>
        <v/>
      </c>
    </row>
    <row r="67" customFormat="false" ht="15" hidden="false" customHeight="true" outlineLevel="0" collapsed="false">
      <c r="A67" s="9" t="s">
        <v>196</v>
      </c>
      <c r="B67" s="11" t="s">
        <v>329</v>
      </c>
      <c r="C67" s="11" t="s">
        <v>330</v>
      </c>
      <c r="D67" s="21" t="n">
        <v>3.06244</v>
      </c>
      <c r="E67" s="22" t="n">
        <v>1.777</v>
      </c>
      <c r="F67" s="22" t="n">
        <v>1.189</v>
      </c>
      <c r="G67" s="23" t="n">
        <v>1000</v>
      </c>
      <c r="H67" s="11" t="s">
        <v>340</v>
      </c>
      <c r="I67" s="24" t="n">
        <f aca="false">MATCH(A67,'TEa input'!$A$6:$A$68,0)</f>
        <v>30</v>
      </c>
      <c r="J67" s="25" t="n">
        <f aca="false">IF(INDEX('TEa input'!$E$6:$E$68,$I67)="","",INDEX('TEa input'!$E$6:$E$68,$I67))</f>
        <v>10</v>
      </c>
      <c r="K67" s="25" t="n">
        <f aca="false">IF(INDEX('TEa input'!$G$6:$G$68,$I67)="","",INDEX('TEa input'!$G$6:$G$68,$I67))</f>
        <v>20</v>
      </c>
      <c r="L67" s="25" t="n">
        <f aca="false">IF(INDEX('TEa input'!$I$6:$I$68,$I67)="","",INDEX('TEa input'!$I$6:$I$68,$I67))</f>
        <v>9</v>
      </c>
      <c r="M67" s="25" t="str">
        <f aca="false">IF(INDEX('TEa input'!$K$6:$K$68,$I67)="","",INDEX('TEa input'!$K$6:$K$68,$I67))</f>
        <v/>
      </c>
      <c r="N67" s="25" t="n">
        <f aca="false">IF(INDEX('TEa input'!$M$6:$M$68,$I67)="","",INDEX('TEa input'!$M$6:$M$68,$I67))</f>
        <v>10</v>
      </c>
      <c r="O67" s="25" t="n">
        <f aca="false">IF(INDEX('TEa input'!$O$6:$O$68,$I67)="","",INDEX('TEa input'!$O$6:$O$68,$I67))</f>
        <v>20</v>
      </c>
      <c r="P67" s="25" t="str">
        <f aca="false">IF(INDEX('TEa input'!$Q$6:$Q$68,$I67)="","",INDEX('TEa input'!$Q$6:$Q$68,$I67))</f>
        <v/>
      </c>
      <c r="Q67" s="25" t="str">
        <f aca="false">IF(INDEX('TEa input'!$R$6:$R$68,$I67)="","",INDEX('TEa input'!$R$6:$R$68,$I67))</f>
        <v/>
      </c>
      <c r="R67" s="25" t="n">
        <f aca="false">IF(INDEX('TEa input'!$T$6:$T$68,$I67)="","",INDEX('TEa input'!$T$6:$T$68,$I67))</f>
        <v>20</v>
      </c>
      <c r="S67" s="25" t="str">
        <f aca="false">IF(INDEX('TEa input'!$Y$6:$Y$68,$I67)="","",INDEX('TEa input'!$Y$6:$Y$68,$I67))</f>
        <v/>
      </c>
      <c r="T67" s="25" t="str">
        <f aca="false">IF(INDEX('TEa input'!$Z$6:$Z$68,$I67)="","",INDEX('TEa input'!$Z$6:$Z$68,$I67))</f>
        <v/>
      </c>
      <c r="U67" s="25" t="str">
        <f aca="false">IF(INDEX('TEa input'!$AA$6:$AA$68,$I67)="","",INDEX('TEa input'!$AA$6:$AA$68,$I67))</f>
        <v/>
      </c>
      <c r="V67" s="25" t="str">
        <f aca="false">IF(INDEX('TEa input'!$AB$6:$AB$68,$I67)="","",INDEX('TEa input'!$AB$6:$AB$68,$I67))</f>
        <v/>
      </c>
      <c r="W67" s="25" t="str">
        <f aca="false">IF(INDEX('TEa input'!$AC$6:$AC$68,$I67)="","",INDEX('TEa input'!$AC$6:$AC$68,$I67))</f>
        <v/>
      </c>
      <c r="X67" s="25" t="str">
        <f aca="false">IF(INDEX('TEa input'!$AD$6:$AD$68,$I67)="","",INDEX('TEa input'!$AD$6:$AD$68,$I67))</f>
        <v/>
      </c>
      <c r="Y67" s="25" t="str">
        <f aca="false">IF(INDEX('TEa input'!$AF$6:$AF$68,$I67)="","",INDEX('TEa input'!$AF$6:$AF$68,$I67))</f>
        <v/>
      </c>
      <c r="AA67" s="26" t="n">
        <f aca="false">IF(OR(J67="",$E67="",N($E67)&lt;=0),"",(J67-ABS(N($F67)))/$E67)</f>
        <v>4.95835678109173</v>
      </c>
      <c r="AB67" s="26" t="n">
        <f aca="false">IF(OR(K67="",$E67="",N($E67)&lt;=0),"",(K67-ABS(N($F67)))/$E67)</f>
        <v>10.5858187957231</v>
      </c>
      <c r="AC67" s="26" t="n">
        <f aca="false">IF(OR(L67="",$E67="",N($E67)&lt;=0),"",(L67-ABS(N($F67)))/$E67)</f>
        <v>4.39561057962859</v>
      </c>
      <c r="AD67" s="26" t="str">
        <f aca="false">IF(OR(M67="",$E67="",N($E67)&lt;=0),"",(M67-ABS(N($F67)))/$E67)</f>
        <v/>
      </c>
      <c r="AE67" s="26" t="n">
        <f aca="false">IF(OR(N67="",$E67="",N($E67)&lt;=0),"",(N67-ABS(N($F67)))/$E67)</f>
        <v>4.95835678109173</v>
      </c>
      <c r="AF67" s="26" t="n">
        <f aca="false">IF(OR(O67="",$E67="",N($E67)&lt;=0),"",(O67-ABS(N($F67)))/$E67)</f>
        <v>10.5858187957231</v>
      </c>
      <c r="AG67" s="26" t="str">
        <f aca="false">IF(OR(P67="",$E67="",N($E67)&lt;=0),"",(P67-ABS(N($F67)))/$E67)</f>
        <v/>
      </c>
      <c r="AH67" s="26" t="str">
        <f aca="false">IF(OR(Q67="",$E67="",N($E67)&lt;=0),"",(Q67-ABS(N($F67)))/$E67)</f>
        <v/>
      </c>
      <c r="AI67" s="26" t="n">
        <f aca="false">IF(OR(R67="",$E67="",N($E67)&lt;=0),"",(R67-ABS(N($F67)))/$E67)</f>
        <v>10.5858187957231</v>
      </c>
      <c r="AJ67" s="26" t="str">
        <f aca="false">IF(OR(S67="",$E67="",N($E67)&lt;=0),"",(S67-ABS(N($F67)))/$E67)</f>
        <v/>
      </c>
      <c r="AK67" s="26" t="str">
        <f aca="false">IF(OR(T67="",$E67="",N($E67)&lt;=0),"",(T67-ABS(N($F67)))/$E67)</f>
        <v/>
      </c>
      <c r="AL67" s="26" t="str">
        <f aca="false">IF(OR(U67="",$E67="",N($E67)&lt;=0),"",(U67-ABS(N($F67)))/$E67)</f>
        <v/>
      </c>
      <c r="AM67" s="26" t="str">
        <f aca="false">IF(OR(V67="",$E67="",N($E67)&lt;=0),"",(V67-ABS(N($F67)))/$E67)</f>
        <v/>
      </c>
      <c r="AN67" s="26" t="str">
        <f aca="false">IF(OR(W67="",$E67="",N($E67)&lt;=0),"",(W67-ABS(N($F67)))/$E67)</f>
        <v/>
      </c>
      <c r="AO67" s="26" t="str">
        <f aca="false">IF(OR(X67="",$E67="",N($E67)&lt;=0),"",(X67-ABS(N($F67)))/$E67)</f>
        <v/>
      </c>
      <c r="AP67" s="26" t="str">
        <f aca="false">IF(OR(Y67="",$E67="",N($E67)&lt;=0),"",(Y67-ABS(N($F67)))/$E67)</f>
        <v/>
      </c>
    </row>
    <row r="68" customFormat="false" ht="15" hidden="false" customHeight="true" outlineLevel="0" collapsed="false">
      <c r="A68" s="9" t="s">
        <v>201</v>
      </c>
      <c r="B68" s="11" t="s">
        <v>326</v>
      </c>
      <c r="C68" s="11" t="s">
        <v>327</v>
      </c>
      <c r="D68" s="21" t="n">
        <v>0.938818</v>
      </c>
      <c r="E68" s="22" t="n">
        <v>1.828</v>
      </c>
      <c r="F68" s="22" t="n">
        <v>0.233</v>
      </c>
      <c r="G68" s="23" t="n">
        <v>964</v>
      </c>
      <c r="H68" s="11" t="s">
        <v>331</v>
      </c>
      <c r="I68" s="24" t="n">
        <f aca="false">MATCH(A68,'TEa input'!$A$6:$A$68,0)</f>
        <v>31</v>
      </c>
      <c r="J68" s="25" t="n">
        <f aca="false">IF(INDEX('TEa input'!$E$6:$E$68,$I68)="","",INDEX('TEa input'!$E$6:$E$68,$I68))</f>
        <v>15</v>
      </c>
      <c r="K68" s="25" t="n">
        <f aca="false">IF(INDEX('TEa input'!$G$6:$G$68,$I68)="","",INDEX('TEa input'!$G$6:$G$68,$I68))</f>
        <v>15</v>
      </c>
      <c r="L68" s="25" t="n">
        <f aca="false">IF(INDEX('TEa input'!$I$6:$I$68,$I68)="","",INDEX('TEa input'!$I$6:$I$68,$I68))</f>
        <v>9</v>
      </c>
      <c r="M68" s="25" t="str">
        <f aca="false">IF(INDEX('TEa input'!$K$6:$K$68,$I68)="","",INDEX('TEa input'!$K$6:$K$68,$I68))</f>
        <v/>
      </c>
      <c r="N68" s="25" t="n">
        <f aca="false">IF(INDEX('TEa input'!$M$6:$M$68,$I68)="","",INDEX('TEa input'!$M$6:$M$68,$I68))</f>
        <v>12</v>
      </c>
      <c r="O68" s="25" t="n">
        <f aca="false">IF(INDEX('TEa input'!$O$6:$O$68,$I68)="","",INDEX('TEa input'!$O$6:$O$68,$I68))</f>
        <v>14</v>
      </c>
      <c r="P68" s="25" t="n">
        <f aca="false">IF(INDEX('TEa input'!$Q$6:$Q$68,$I68)="","",INDEX('TEa input'!$Q$6:$Q$68,$I68))</f>
        <v>15</v>
      </c>
      <c r="Q68" s="25" t="n">
        <f aca="false">IF(INDEX('TEa input'!$R$6:$R$68,$I68)="","",INDEX('TEa input'!$R$6:$R$68,$I68))</f>
        <v>20</v>
      </c>
      <c r="R68" s="25" t="n">
        <f aca="false">IF(INDEX('TEa input'!$T$6:$T$68,$I68)="","",INDEX('TEa input'!$T$6:$T$68,$I68))</f>
        <v>15</v>
      </c>
      <c r="S68" s="25" t="str">
        <f aca="false">IF(INDEX('TEa input'!$Y$6:$Y$68,$I68)="","",INDEX('TEa input'!$Y$6:$Y$68,$I68))</f>
        <v/>
      </c>
      <c r="T68" s="25" t="str">
        <f aca="false">IF(INDEX('TEa input'!$Z$6:$Z$68,$I68)="","",INDEX('TEa input'!$Z$6:$Z$68,$I68))</f>
        <v/>
      </c>
      <c r="U68" s="25" t="str">
        <f aca="false">IF(INDEX('TEa input'!$AA$6:$AA$68,$I68)="","",INDEX('TEa input'!$AA$6:$AA$68,$I68))</f>
        <v/>
      </c>
      <c r="V68" s="25" t="str">
        <f aca="false">IF(INDEX('TEa input'!$AB$6:$AB$68,$I68)="","",INDEX('TEa input'!$AB$6:$AB$68,$I68))</f>
        <v/>
      </c>
      <c r="W68" s="25" t="n">
        <f aca="false">IF(INDEX('TEa input'!$AC$6:$AC$68,$I68)="","",INDEX('TEa input'!$AC$6:$AC$68,$I68))</f>
        <v>25.99</v>
      </c>
      <c r="X68" s="25" t="str">
        <f aca="false">IF(INDEX('TEa input'!$AD$6:$AD$68,$I68)="","",INDEX('TEa input'!$AD$6:$AD$68,$I68))</f>
        <v/>
      </c>
      <c r="Y68" s="25" t="str">
        <f aca="false">IF(INDEX('TEa input'!$AF$6:$AF$68,$I68)="","",INDEX('TEa input'!$AF$6:$AF$68,$I68))</f>
        <v/>
      </c>
      <c r="AA68" s="26" t="n">
        <f aca="false">IF(OR(J68="",$E68="",N($E68)&lt;=0),"",(J68-ABS(N($F68)))/$E68)</f>
        <v>8.07822757111597</v>
      </c>
      <c r="AB68" s="26" t="n">
        <f aca="false">IF(OR(K68="",$E68="",N($E68)&lt;=0),"",(K68-ABS(N($F68)))/$E68)</f>
        <v>8.07822757111597</v>
      </c>
      <c r="AC68" s="26" t="n">
        <f aca="false">IF(OR(L68="",$E68="",N($E68)&lt;=0),"",(L68-ABS(N($F68)))/$E68)</f>
        <v>4.79595185995624</v>
      </c>
      <c r="AD68" s="26" t="str">
        <f aca="false">IF(OR(M68="",$E68="",N($E68)&lt;=0),"",(M68-ABS(N($F68)))/$E68)</f>
        <v/>
      </c>
      <c r="AE68" s="26" t="n">
        <f aca="false">IF(OR(N68="",$E68="",N($E68)&lt;=0),"",(N68-ABS(N($F68)))/$E68)</f>
        <v>6.4370897155361</v>
      </c>
      <c r="AF68" s="26" t="n">
        <f aca="false">IF(OR(O68="",$E68="",N($E68)&lt;=0),"",(O68-ABS(N($F68)))/$E68)</f>
        <v>7.53118161925602</v>
      </c>
      <c r="AG68" s="26" t="n">
        <f aca="false">IF(OR(P68="",$E68="",N($E68)&lt;=0),"",(P68-ABS(N($F68)))/$E68)</f>
        <v>8.07822757111597</v>
      </c>
      <c r="AH68" s="26" t="n">
        <f aca="false">IF(OR(Q68="",$E68="",N($E68)&lt;=0),"",(Q68-ABS(N($F68)))/$E68)</f>
        <v>10.8134573304158</v>
      </c>
      <c r="AI68" s="26" t="n">
        <f aca="false">IF(OR(R68="",$E68="",N($E68)&lt;=0),"",(R68-ABS(N($F68)))/$E68)</f>
        <v>8.07822757111597</v>
      </c>
      <c r="AJ68" s="26" t="str">
        <f aca="false">IF(OR(S68="",$E68="",N($E68)&lt;=0),"",(S68-ABS(N($F68)))/$E68)</f>
        <v/>
      </c>
      <c r="AK68" s="26" t="str">
        <f aca="false">IF(OR(T68="",$E68="",N($E68)&lt;=0),"",(T68-ABS(N($F68)))/$E68)</f>
        <v/>
      </c>
      <c r="AL68" s="26" t="str">
        <f aca="false">IF(OR(U68="",$E68="",N($E68)&lt;=0),"",(U68-ABS(N($F68)))/$E68)</f>
        <v/>
      </c>
      <c r="AM68" s="26" t="str">
        <f aca="false">IF(OR(V68="",$E68="",N($E68)&lt;=0),"",(V68-ABS(N($F68)))/$E68)</f>
        <v/>
      </c>
      <c r="AN68" s="26" t="n">
        <f aca="false">IF(OR(W68="",$E68="",N($E68)&lt;=0),"",(W68-ABS(N($F68)))/$E68)</f>
        <v>14.0902625820569</v>
      </c>
      <c r="AO68" s="26" t="str">
        <f aca="false">IF(OR(X68="",$E68="",N($E68)&lt;=0),"",(X68-ABS(N($F68)))/$E68)</f>
        <v/>
      </c>
      <c r="AP68" s="26" t="str">
        <f aca="false">IF(OR(Y68="",$E68="",N($E68)&lt;=0),"",(Y68-ABS(N($F68)))/$E68)</f>
        <v/>
      </c>
    </row>
    <row r="69" customFormat="false" ht="15" hidden="false" customHeight="true" outlineLevel="0" collapsed="false">
      <c r="A69" s="9" t="s">
        <v>201</v>
      </c>
      <c r="B69" s="11" t="s">
        <v>329</v>
      </c>
      <c r="C69" s="11" t="s">
        <v>330</v>
      </c>
      <c r="D69" s="21" t="n">
        <v>2.90772</v>
      </c>
      <c r="E69" s="22" t="n">
        <v>1.357</v>
      </c>
      <c r="F69" s="22" t="n">
        <v>1.288</v>
      </c>
      <c r="G69" s="23" t="n">
        <v>964</v>
      </c>
      <c r="H69" s="11" t="s">
        <v>331</v>
      </c>
      <c r="I69" s="24" t="n">
        <f aca="false">MATCH(A69,'TEa input'!$A$6:$A$68,0)</f>
        <v>31</v>
      </c>
      <c r="J69" s="25" t="n">
        <f aca="false">IF(INDEX('TEa input'!$E$6:$E$68,$I69)="","",INDEX('TEa input'!$E$6:$E$68,$I69))</f>
        <v>15</v>
      </c>
      <c r="K69" s="25" t="n">
        <f aca="false">IF(INDEX('TEa input'!$G$6:$G$68,$I69)="","",INDEX('TEa input'!$G$6:$G$68,$I69))</f>
        <v>15</v>
      </c>
      <c r="L69" s="25" t="n">
        <f aca="false">IF(INDEX('TEa input'!$I$6:$I$68,$I69)="","",INDEX('TEa input'!$I$6:$I$68,$I69))</f>
        <v>9</v>
      </c>
      <c r="M69" s="25" t="str">
        <f aca="false">IF(INDEX('TEa input'!$K$6:$K$68,$I69)="","",INDEX('TEa input'!$K$6:$K$68,$I69))</f>
        <v/>
      </c>
      <c r="N69" s="25" t="n">
        <f aca="false">IF(INDEX('TEa input'!$M$6:$M$68,$I69)="","",INDEX('TEa input'!$M$6:$M$68,$I69))</f>
        <v>12</v>
      </c>
      <c r="O69" s="25" t="n">
        <f aca="false">IF(INDEX('TEa input'!$O$6:$O$68,$I69)="","",INDEX('TEa input'!$O$6:$O$68,$I69))</f>
        <v>14</v>
      </c>
      <c r="P69" s="25" t="n">
        <f aca="false">IF(INDEX('TEa input'!$Q$6:$Q$68,$I69)="","",INDEX('TEa input'!$Q$6:$Q$68,$I69))</f>
        <v>15</v>
      </c>
      <c r="Q69" s="25" t="n">
        <f aca="false">IF(INDEX('TEa input'!$R$6:$R$68,$I69)="","",INDEX('TEa input'!$R$6:$R$68,$I69))</f>
        <v>20</v>
      </c>
      <c r="R69" s="25" t="n">
        <f aca="false">IF(INDEX('TEa input'!$T$6:$T$68,$I69)="","",INDEX('TEa input'!$T$6:$T$68,$I69))</f>
        <v>15</v>
      </c>
      <c r="S69" s="25" t="str">
        <f aca="false">IF(INDEX('TEa input'!$Y$6:$Y$68,$I69)="","",INDEX('TEa input'!$Y$6:$Y$68,$I69))</f>
        <v/>
      </c>
      <c r="T69" s="25" t="str">
        <f aca="false">IF(INDEX('TEa input'!$Z$6:$Z$68,$I69)="","",INDEX('TEa input'!$Z$6:$Z$68,$I69))</f>
        <v/>
      </c>
      <c r="U69" s="25" t="str">
        <f aca="false">IF(INDEX('TEa input'!$AA$6:$AA$68,$I69)="","",INDEX('TEa input'!$AA$6:$AA$68,$I69))</f>
        <v/>
      </c>
      <c r="V69" s="25" t="str">
        <f aca="false">IF(INDEX('TEa input'!$AB$6:$AB$68,$I69)="","",INDEX('TEa input'!$AB$6:$AB$68,$I69))</f>
        <v/>
      </c>
      <c r="W69" s="25" t="n">
        <f aca="false">IF(INDEX('TEa input'!$AC$6:$AC$68,$I69)="","",INDEX('TEa input'!$AC$6:$AC$68,$I69))</f>
        <v>25.99</v>
      </c>
      <c r="X69" s="25" t="str">
        <f aca="false">IF(INDEX('TEa input'!$AD$6:$AD$68,$I69)="","",INDEX('TEa input'!$AD$6:$AD$68,$I69))</f>
        <v/>
      </c>
      <c r="Y69" s="25" t="str">
        <f aca="false">IF(INDEX('TEa input'!$AF$6:$AF$68,$I69)="","",INDEX('TEa input'!$AF$6:$AF$68,$I69))</f>
        <v/>
      </c>
      <c r="AA69" s="26" t="n">
        <f aca="false">IF(OR(J69="",$E69="",N($E69)&lt;=0),"",(J69-ABS(N($F69)))/$E69)</f>
        <v>10.1046425939573</v>
      </c>
      <c r="AB69" s="26" t="n">
        <f aca="false">IF(OR(K69="",$E69="",N($E69)&lt;=0),"",(K69-ABS(N($F69)))/$E69)</f>
        <v>10.1046425939573</v>
      </c>
      <c r="AC69" s="26" t="n">
        <f aca="false">IF(OR(L69="",$E69="",N($E69)&lt;=0),"",(L69-ABS(N($F69)))/$E69)</f>
        <v>5.6831245394252</v>
      </c>
      <c r="AD69" s="26" t="str">
        <f aca="false">IF(OR(M69="",$E69="",N($E69)&lt;=0),"",(M69-ABS(N($F69)))/$E69)</f>
        <v/>
      </c>
      <c r="AE69" s="26" t="n">
        <f aca="false">IF(OR(N69="",$E69="",N($E69)&lt;=0),"",(N69-ABS(N($F69)))/$E69)</f>
        <v>7.89388356669123</v>
      </c>
      <c r="AF69" s="26" t="n">
        <f aca="false">IF(OR(O69="",$E69="",N($E69)&lt;=0),"",(O69-ABS(N($F69)))/$E69)</f>
        <v>9.36772291820192</v>
      </c>
      <c r="AG69" s="26" t="n">
        <f aca="false">IF(OR(P69="",$E69="",N($E69)&lt;=0),"",(P69-ABS(N($F69)))/$E69)</f>
        <v>10.1046425939573</v>
      </c>
      <c r="AH69" s="26" t="n">
        <f aca="false">IF(OR(Q69="",$E69="",N($E69)&lt;=0),"",(Q69-ABS(N($F69)))/$E69)</f>
        <v>13.789240972734</v>
      </c>
      <c r="AI69" s="26" t="n">
        <f aca="false">IF(OR(R69="",$E69="",N($E69)&lt;=0),"",(R69-ABS(N($F69)))/$E69)</f>
        <v>10.1046425939573</v>
      </c>
      <c r="AJ69" s="26" t="str">
        <f aca="false">IF(OR(S69="",$E69="",N($E69)&lt;=0),"",(S69-ABS(N($F69)))/$E69)</f>
        <v/>
      </c>
      <c r="AK69" s="26" t="str">
        <f aca="false">IF(OR(T69="",$E69="",N($E69)&lt;=0),"",(T69-ABS(N($F69)))/$E69)</f>
        <v/>
      </c>
      <c r="AL69" s="26" t="str">
        <f aca="false">IF(OR(U69="",$E69="",N($E69)&lt;=0),"",(U69-ABS(N($F69)))/$E69)</f>
        <v/>
      </c>
      <c r="AM69" s="26" t="str">
        <f aca="false">IF(OR(V69="",$E69="",N($E69)&lt;=0),"",(V69-ABS(N($F69)))/$E69)</f>
        <v/>
      </c>
      <c r="AN69" s="26" t="n">
        <f aca="false">IF(OR(W69="",$E69="",N($E69)&lt;=0),"",(W69-ABS(N($F69)))/$E69)</f>
        <v>18.2033898305085</v>
      </c>
      <c r="AO69" s="26" t="str">
        <f aca="false">IF(OR(X69="",$E69="",N($E69)&lt;=0),"",(X69-ABS(N($F69)))/$E69)</f>
        <v/>
      </c>
      <c r="AP69" s="26" t="str">
        <f aca="false">IF(OR(Y69="",$E69="",N($E69)&lt;=0),"",(Y69-ABS(N($F69)))/$E69)</f>
        <v/>
      </c>
    </row>
    <row r="70" customFormat="false" ht="15" hidden="false" customHeight="true" outlineLevel="0" collapsed="false">
      <c r="A70" s="9" t="s">
        <v>204</v>
      </c>
      <c r="B70" s="11" t="s">
        <v>326</v>
      </c>
      <c r="C70" s="11" t="s">
        <v>327</v>
      </c>
      <c r="D70" s="21" t="n">
        <v>13.3947</v>
      </c>
      <c r="E70" s="22" t="n">
        <v>2.194</v>
      </c>
      <c r="F70" s="22" t="n">
        <v>0.152</v>
      </c>
      <c r="G70" s="23" t="n">
        <v>989</v>
      </c>
      <c r="H70" s="11" t="s">
        <v>331</v>
      </c>
      <c r="I70" s="24" t="n">
        <f aca="false">MATCH(A70,'TEa input'!$A$6:$A$68,0)</f>
        <v>32</v>
      </c>
      <c r="J70" s="25" t="n">
        <f aca="false">IF(INDEX('TEa input'!$E$6:$E$68,$I70)="","",INDEX('TEa input'!$E$6:$E$68,$I70))</f>
        <v>12</v>
      </c>
      <c r="K70" s="25" t="n">
        <f aca="false">IF(INDEX('TEa input'!$G$6:$G$68,$I70)="","",INDEX('TEa input'!$G$6:$G$68,$I70))</f>
        <v>15</v>
      </c>
      <c r="L70" s="25" t="str">
        <f aca="false">IF(INDEX('TEa input'!$I$6:$I$68,$I70)="","",INDEX('TEa input'!$I$6:$I$68,$I70))</f>
        <v/>
      </c>
      <c r="M70" s="25" t="str">
        <f aca="false">IF(INDEX('TEa input'!$K$6:$K$68,$I70)="","",INDEX('TEa input'!$K$6:$K$68,$I70))</f>
        <v/>
      </c>
      <c r="N70" s="25" t="n">
        <f aca="false">IF(INDEX('TEa input'!$M$6:$M$68,$I70)="","",INDEX('TEa input'!$M$6:$M$68,$I70))</f>
        <v>12</v>
      </c>
      <c r="O70" s="25" t="n">
        <f aca="false">IF(INDEX('TEa input'!$O$6:$O$68,$I70)="","",INDEX('TEa input'!$O$6:$O$68,$I70))</f>
        <v>15</v>
      </c>
      <c r="P70" s="25" t="n">
        <f aca="false">IF(INDEX('TEa input'!$Q$6:$Q$68,$I70)="","",INDEX('TEa input'!$Q$6:$Q$68,$I70))</f>
        <v>15</v>
      </c>
      <c r="Q70" s="25" t="n">
        <f aca="false">IF(INDEX('TEa input'!$R$6:$R$68,$I70)="","",INDEX('TEa input'!$R$6:$R$68,$I70))</f>
        <v>8.3</v>
      </c>
      <c r="R70" s="25" t="str">
        <f aca="false">IF(INDEX('TEa input'!$T$6:$T$68,$I70)="","",INDEX('TEa input'!$T$6:$T$68,$I70))</f>
        <v/>
      </c>
      <c r="S70" s="25" t="str">
        <f aca="false">IF(INDEX('TEa input'!$Y$6:$Y$68,$I70)="","",INDEX('TEa input'!$Y$6:$Y$68,$I70))</f>
        <v/>
      </c>
      <c r="T70" s="25" t="str">
        <f aca="false">IF(INDEX('TEa input'!$Z$6:$Z$68,$I70)="","",INDEX('TEa input'!$Z$6:$Z$68,$I70))</f>
        <v/>
      </c>
      <c r="U70" s="25" t="str">
        <f aca="false">IF(INDEX('TEa input'!$AA$6:$AA$68,$I70)="","",INDEX('TEa input'!$AA$6:$AA$68,$I70))</f>
        <v/>
      </c>
      <c r="V70" s="25" t="str">
        <f aca="false">IF(INDEX('TEa input'!$AB$6:$AB$68,$I70)="","",INDEX('TEa input'!$AB$6:$AB$68,$I70))</f>
        <v/>
      </c>
      <c r="W70" s="25" t="n">
        <f aca="false">IF(INDEX('TEa input'!$AC$6:$AC$68,$I70)="","",INDEX('TEa input'!$AC$6:$AC$68,$I70))</f>
        <v>30.7</v>
      </c>
      <c r="X70" s="25" t="str">
        <f aca="false">IF(INDEX('TEa input'!$AD$6:$AD$68,$I70)="","",INDEX('TEa input'!$AD$6:$AD$68,$I70))</f>
        <v/>
      </c>
      <c r="Y70" s="25" t="str">
        <f aca="false">IF(INDEX('TEa input'!$AF$6:$AF$68,$I70)="","",INDEX('TEa input'!$AF$6:$AF$68,$I70))</f>
        <v/>
      </c>
      <c r="AA70" s="26" t="n">
        <f aca="false">IF(OR(J70="",$E70="",N($E70)&lt;=0),"",(J70-ABS(N($F70)))/$E70)</f>
        <v>5.40018231540565</v>
      </c>
      <c r="AB70" s="26" t="n">
        <f aca="false">IF(OR(K70="",$E70="",N($E70)&lt;=0),"",(K70-ABS(N($F70)))/$E70)</f>
        <v>6.76754785779398</v>
      </c>
      <c r="AC70" s="26" t="str">
        <f aca="false">IF(OR(L70="",$E70="",N($E70)&lt;=0),"",(L70-ABS(N($F70)))/$E70)</f>
        <v/>
      </c>
      <c r="AD70" s="26" t="str">
        <f aca="false">IF(OR(M70="",$E70="",N($E70)&lt;=0),"",(M70-ABS(N($F70)))/$E70)</f>
        <v/>
      </c>
      <c r="AE70" s="26" t="n">
        <f aca="false">IF(OR(N70="",$E70="",N($E70)&lt;=0),"",(N70-ABS(N($F70)))/$E70)</f>
        <v>5.40018231540565</v>
      </c>
      <c r="AF70" s="26" t="n">
        <f aca="false">IF(OR(O70="",$E70="",N($E70)&lt;=0),"",(O70-ABS(N($F70)))/$E70)</f>
        <v>6.76754785779398</v>
      </c>
      <c r="AG70" s="26" t="n">
        <f aca="false">IF(OR(P70="",$E70="",N($E70)&lt;=0),"",(P70-ABS(N($F70)))/$E70)</f>
        <v>6.76754785779398</v>
      </c>
      <c r="AH70" s="26" t="n">
        <f aca="false">IF(OR(Q70="",$E70="",N($E70)&lt;=0),"",(Q70-ABS(N($F70)))/$E70)</f>
        <v>3.71376481312671</v>
      </c>
      <c r="AI70" s="26" t="str">
        <f aca="false">IF(OR(R70="",$E70="",N($E70)&lt;=0),"",(R70-ABS(N($F70)))/$E70)</f>
        <v/>
      </c>
      <c r="AJ70" s="26" t="str">
        <f aca="false">IF(OR(S70="",$E70="",N($E70)&lt;=0),"",(S70-ABS(N($F70)))/$E70)</f>
        <v/>
      </c>
      <c r="AK70" s="26" t="str">
        <f aca="false">IF(OR(T70="",$E70="",N($E70)&lt;=0),"",(T70-ABS(N($F70)))/$E70)</f>
        <v/>
      </c>
      <c r="AL70" s="26" t="str">
        <f aca="false">IF(OR(U70="",$E70="",N($E70)&lt;=0),"",(U70-ABS(N($F70)))/$E70)</f>
        <v/>
      </c>
      <c r="AM70" s="26" t="str">
        <f aca="false">IF(OR(V70="",$E70="",N($E70)&lt;=0),"",(V70-ABS(N($F70)))/$E70)</f>
        <v/>
      </c>
      <c r="AN70" s="26" t="n">
        <f aca="false">IF(OR(W70="",$E70="",N($E70)&lt;=0),"",(W70-ABS(N($F70)))/$E70)</f>
        <v>13.9234275296263</v>
      </c>
      <c r="AO70" s="26" t="str">
        <f aca="false">IF(OR(X70="",$E70="",N($E70)&lt;=0),"",(X70-ABS(N($F70)))/$E70)</f>
        <v/>
      </c>
      <c r="AP70" s="26" t="str">
        <f aca="false">IF(OR(Y70="",$E70="",N($E70)&lt;=0),"",(Y70-ABS(N($F70)))/$E70)</f>
        <v/>
      </c>
    </row>
    <row r="71" customFormat="false" ht="15" hidden="false" customHeight="true" outlineLevel="0" collapsed="false">
      <c r="A71" s="9" t="s">
        <v>204</v>
      </c>
      <c r="B71" s="11" t="s">
        <v>329</v>
      </c>
      <c r="C71" s="11" t="s">
        <v>330</v>
      </c>
      <c r="D71" s="21" t="n">
        <v>37.5562</v>
      </c>
      <c r="E71" s="22" t="n">
        <v>1.932</v>
      </c>
      <c r="F71" s="22" t="n">
        <v>0.246</v>
      </c>
      <c r="G71" s="23" t="n">
        <v>999</v>
      </c>
      <c r="H71" s="11" t="s">
        <v>331</v>
      </c>
      <c r="I71" s="24" t="n">
        <f aca="false">MATCH(A71,'TEa input'!$A$6:$A$68,0)</f>
        <v>32</v>
      </c>
      <c r="J71" s="25" t="n">
        <f aca="false">IF(INDEX('TEa input'!$E$6:$E$68,$I71)="","",INDEX('TEa input'!$E$6:$E$68,$I71))</f>
        <v>12</v>
      </c>
      <c r="K71" s="25" t="n">
        <f aca="false">IF(INDEX('TEa input'!$G$6:$G$68,$I71)="","",INDEX('TEa input'!$G$6:$G$68,$I71))</f>
        <v>15</v>
      </c>
      <c r="L71" s="25" t="str">
        <f aca="false">IF(INDEX('TEa input'!$I$6:$I$68,$I71)="","",INDEX('TEa input'!$I$6:$I$68,$I71))</f>
        <v/>
      </c>
      <c r="M71" s="25" t="str">
        <f aca="false">IF(INDEX('TEa input'!$K$6:$K$68,$I71)="","",INDEX('TEa input'!$K$6:$K$68,$I71))</f>
        <v/>
      </c>
      <c r="N71" s="25" t="n">
        <f aca="false">IF(INDEX('TEa input'!$M$6:$M$68,$I71)="","",INDEX('TEa input'!$M$6:$M$68,$I71))</f>
        <v>12</v>
      </c>
      <c r="O71" s="25" t="n">
        <f aca="false">IF(INDEX('TEa input'!$O$6:$O$68,$I71)="","",INDEX('TEa input'!$O$6:$O$68,$I71))</f>
        <v>15</v>
      </c>
      <c r="P71" s="25" t="n">
        <f aca="false">IF(INDEX('TEa input'!$Q$6:$Q$68,$I71)="","",INDEX('TEa input'!$Q$6:$Q$68,$I71))</f>
        <v>15</v>
      </c>
      <c r="Q71" s="25" t="n">
        <f aca="false">IF(INDEX('TEa input'!$R$6:$R$68,$I71)="","",INDEX('TEa input'!$R$6:$R$68,$I71))</f>
        <v>8.3</v>
      </c>
      <c r="R71" s="25" t="str">
        <f aca="false">IF(INDEX('TEa input'!$T$6:$T$68,$I71)="","",INDEX('TEa input'!$T$6:$T$68,$I71))</f>
        <v/>
      </c>
      <c r="S71" s="25" t="str">
        <f aca="false">IF(INDEX('TEa input'!$Y$6:$Y$68,$I71)="","",INDEX('TEa input'!$Y$6:$Y$68,$I71))</f>
        <v/>
      </c>
      <c r="T71" s="25" t="str">
        <f aca="false">IF(INDEX('TEa input'!$Z$6:$Z$68,$I71)="","",INDEX('TEa input'!$Z$6:$Z$68,$I71))</f>
        <v/>
      </c>
      <c r="U71" s="25" t="str">
        <f aca="false">IF(INDEX('TEa input'!$AA$6:$AA$68,$I71)="","",INDEX('TEa input'!$AA$6:$AA$68,$I71))</f>
        <v/>
      </c>
      <c r="V71" s="25" t="str">
        <f aca="false">IF(INDEX('TEa input'!$AB$6:$AB$68,$I71)="","",INDEX('TEa input'!$AB$6:$AB$68,$I71))</f>
        <v/>
      </c>
      <c r="W71" s="25" t="n">
        <f aca="false">IF(INDEX('TEa input'!$AC$6:$AC$68,$I71)="","",INDEX('TEa input'!$AC$6:$AC$68,$I71))</f>
        <v>30.7</v>
      </c>
      <c r="X71" s="25" t="str">
        <f aca="false">IF(INDEX('TEa input'!$AD$6:$AD$68,$I71)="","",INDEX('TEa input'!$AD$6:$AD$68,$I71))</f>
        <v/>
      </c>
      <c r="Y71" s="25" t="str">
        <f aca="false">IF(INDEX('TEa input'!$AF$6:$AF$68,$I71)="","",INDEX('TEa input'!$AF$6:$AF$68,$I71))</f>
        <v/>
      </c>
      <c r="AA71" s="26" t="n">
        <f aca="false">IF(OR(J71="",$E71="",N($E71)&lt;=0),"",(J71-ABS(N($F71)))/$E71)</f>
        <v>6.08385093167702</v>
      </c>
      <c r="AB71" s="26" t="n">
        <f aca="false">IF(OR(K71="",$E71="",N($E71)&lt;=0),"",(K71-ABS(N($F71)))/$E71)</f>
        <v>7.63664596273292</v>
      </c>
      <c r="AC71" s="26" t="str">
        <f aca="false">IF(OR(L71="",$E71="",N($E71)&lt;=0),"",(L71-ABS(N($F71)))/$E71)</f>
        <v/>
      </c>
      <c r="AD71" s="26" t="str">
        <f aca="false">IF(OR(M71="",$E71="",N($E71)&lt;=0),"",(M71-ABS(N($F71)))/$E71)</f>
        <v/>
      </c>
      <c r="AE71" s="26" t="n">
        <f aca="false">IF(OR(N71="",$E71="",N($E71)&lt;=0),"",(N71-ABS(N($F71)))/$E71)</f>
        <v>6.08385093167702</v>
      </c>
      <c r="AF71" s="26" t="n">
        <f aca="false">IF(OR(O71="",$E71="",N($E71)&lt;=0),"",(O71-ABS(N($F71)))/$E71)</f>
        <v>7.63664596273292</v>
      </c>
      <c r="AG71" s="26" t="n">
        <f aca="false">IF(OR(P71="",$E71="",N($E71)&lt;=0),"",(P71-ABS(N($F71)))/$E71)</f>
        <v>7.63664596273292</v>
      </c>
      <c r="AH71" s="26" t="n">
        <f aca="false">IF(OR(Q71="",$E71="",N($E71)&lt;=0),"",(Q71-ABS(N($F71)))/$E71)</f>
        <v>4.16873706004141</v>
      </c>
      <c r="AI71" s="26" t="str">
        <f aca="false">IF(OR(R71="",$E71="",N($E71)&lt;=0),"",(R71-ABS(N($F71)))/$E71)</f>
        <v/>
      </c>
      <c r="AJ71" s="26" t="str">
        <f aca="false">IF(OR(S71="",$E71="",N($E71)&lt;=0),"",(S71-ABS(N($F71)))/$E71)</f>
        <v/>
      </c>
      <c r="AK71" s="26" t="str">
        <f aca="false">IF(OR(T71="",$E71="",N($E71)&lt;=0),"",(T71-ABS(N($F71)))/$E71)</f>
        <v/>
      </c>
      <c r="AL71" s="26" t="str">
        <f aca="false">IF(OR(U71="",$E71="",N($E71)&lt;=0),"",(U71-ABS(N($F71)))/$E71)</f>
        <v/>
      </c>
      <c r="AM71" s="26" t="str">
        <f aca="false">IF(OR(V71="",$E71="",N($E71)&lt;=0),"",(V71-ABS(N($F71)))/$E71)</f>
        <v/>
      </c>
      <c r="AN71" s="26" t="n">
        <f aca="false">IF(OR(W71="",$E71="",N($E71)&lt;=0),"",(W71-ABS(N($F71)))/$E71)</f>
        <v>15.7629399585921</v>
      </c>
      <c r="AO71" s="26" t="str">
        <f aca="false">IF(OR(X71="",$E71="",N($E71)&lt;=0),"",(X71-ABS(N($F71)))/$E71)</f>
        <v/>
      </c>
      <c r="AP71" s="26" t="str">
        <f aca="false">IF(OR(Y71="",$E71="",N($E71)&lt;=0),"",(Y71-ABS(N($F71)))/$E71)</f>
        <v/>
      </c>
    </row>
    <row r="72" customFormat="false" ht="15" hidden="false" customHeight="true" outlineLevel="0" collapsed="false">
      <c r="A72" s="9" t="s">
        <v>207</v>
      </c>
      <c r="B72" s="11" t="s">
        <v>326</v>
      </c>
      <c r="C72" s="11" t="s">
        <v>327</v>
      </c>
      <c r="D72" s="21" t="n">
        <v>2.12537</v>
      </c>
      <c r="E72" s="22" t="n">
        <v>2.062</v>
      </c>
      <c r="F72" s="22" t="n">
        <v>1.414</v>
      </c>
      <c r="G72" s="23" t="n">
        <v>1047</v>
      </c>
      <c r="H72" s="11" t="s">
        <v>331</v>
      </c>
      <c r="I72" s="24" t="n">
        <f aca="false">MATCH(A72,'TEa input'!$A$6:$A$68,0)</f>
        <v>33</v>
      </c>
      <c r="J72" s="25" t="n">
        <f aca="false">IF(INDEX('TEa input'!$E$6:$E$68,$I72)="","",INDEX('TEa input'!$E$6:$E$68,$I72))</f>
        <v>8</v>
      </c>
      <c r="K72" s="25" t="str">
        <f aca="false">IF(INDEX('TEa input'!$G$6:$G$68,$I72)="","",INDEX('TEa input'!$G$6:$G$68,$I72))</f>
        <v/>
      </c>
      <c r="L72" s="25" t="n">
        <f aca="false">IF(INDEX('TEa input'!$I$6:$I$68,$I72)="","",INDEX('TEa input'!$I$6:$I$68,$I72))</f>
        <v>8</v>
      </c>
      <c r="M72" s="25" t="str">
        <f aca="false">IF(INDEX('TEa input'!$K$6:$K$68,$I72)="","",INDEX('TEa input'!$K$6:$K$68,$I72))</f>
        <v/>
      </c>
      <c r="N72" s="25" t="n">
        <f aca="false">IF(INDEX('TEa input'!$M$6:$M$68,$I72)="","",INDEX('TEa input'!$M$6:$M$68,$I72))</f>
        <v>8</v>
      </c>
      <c r="O72" s="25" t="str">
        <f aca="false">IF(INDEX('TEa input'!$O$6:$O$68,$I72)="","",INDEX('TEa input'!$O$6:$O$68,$I72))</f>
        <v/>
      </c>
      <c r="P72" s="25" t="str">
        <f aca="false">IF(INDEX('TEa input'!$Q$6:$Q$68,$I72)="","",INDEX('TEa input'!$Q$6:$Q$68,$I72))</f>
        <v/>
      </c>
      <c r="Q72" s="25" t="str">
        <f aca="false">IF(INDEX('TEa input'!$R$6:$R$68,$I72)="","",INDEX('TEa input'!$R$6:$R$68,$I72))</f>
        <v/>
      </c>
      <c r="R72" s="25" t="str">
        <f aca="false">IF(INDEX('TEa input'!$T$6:$T$68,$I72)="","",INDEX('TEa input'!$T$6:$T$68,$I72))</f>
        <v/>
      </c>
      <c r="S72" s="25" t="str">
        <f aca="false">IF(INDEX('TEa input'!$Y$6:$Y$68,$I72)="","",INDEX('TEa input'!$Y$6:$Y$68,$I72))</f>
        <v/>
      </c>
      <c r="T72" s="25" t="str">
        <f aca="false">IF(INDEX('TEa input'!$Z$6:$Z$68,$I72)="","",INDEX('TEa input'!$Z$6:$Z$68,$I72))</f>
        <v/>
      </c>
      <c r="U72" s="25" t="str">
        <f aca="false">IF(INDEX('TEa input'!$AA$6:$AA$68,$I72)="","",INDEX('TEa input'!$AA$6:$AA$68,$I72))</f>
        <v/>
      </c>
      <c r="V72" s="25" t="str">
        <f aca="false">IF(INDEX('TEa input'!$AB$6:$AB$68,$I72)="","",INDEX('TEa input'!$AB$6:$AB$68,$I72))</f>
        <v/>
      </c>
      <c r="W72" s="25" t="str">
        <f aca="false">IF(INDEX('TEa input'!$AC$6:$AC$68,$I72)="","",INDEX('TEa input'!$AC$6:$AC$68,$I72))</f>
        <v/>
      </c>
      <c r="X72" s="25" t="str">
        <f aca="false">IF(INDEX('TEa input'!$AD$6:$AD$68,$I72)="","",INDEX('TEa input'!$AD$6:$AD$68,$I72))</f>
        <v/>
      </c>
      <c r="Y72" s="25" t="str">
        <f aca="false">IF(INDEX('TEa input'!$AF$6:$AF$68,$I72)="","",INDEX('TEa input'!$AF$6:$AF$68,$I72))</f>
        <v/>
      </c>
      <c r="AA72" s="26" t="n">
        <f aca="false">IF(OR(J72="",$E72="",N($E72)&lt;=0),"",(J72-ABS(N($F72)))/$E72)</f>
        <v>3.19398642095053</v>
      </c>
      <c r="AB72" s="26" t="str">
        <f aca="false">IF(OR(K72="",$E72="",N($E72)&lt;=0),"",(K72-ABS(N($F72)))/$E72)</f>
        <v/>
      </c>
      <c r="AC72" s="26" t="n">
        <f aca="false">IF(OR(L72="",$E72="",N($E72)&lt;=0),"",(L72-ABS(N($F72)))/$E72)</f>
        <v>3.19398642095053</v>
      </c>
      <c r="AD72" s="26" t="str">
        <f aca="false">IF(OR(M72="",$E72="",N($E72)&lt;=0),"",(M72-ABS(N($F72)))/$E72)</f>
        <v/>
      </c>
      <c r="AE72" s="26" t="n">
        <f aca="false">IF(OR(N72="",$E72="",N($E72)&lt;=0),"",(N72-ABS(N($F72)))/$E72)</f>
        <v>3.19398642095053</v>
      </c>
      <c r="AF72" s="26" t="str">
        <f aca="false">IF(OR(O72="",$E72="",N($E72)&lt;=0),"",(O72-ABS(N($F72)))/$E72)</f>
        <v/>
      </c>
      <c r="AG72" s="26" t="str">
        <f aca="false">IF(OR(P72="",$E72="",N($E72)&lt;=0),"",(P72-ABS(N($F72)))/$E72)</f>
        <v/>
      </c>
      <c r="AH72" s="26" t="str">
        <f aca="false">IF(OR(Q72="",$E72="",N($E72)&lt;=0),"",(Q72-ABS(N($F72)))/$E72)</f>
        <v/>
      </c>
      <c r="AI72" s="26" t="str">
        <f aca="false">IF(OR(R72="",$E72="",N($E72)&lt;=0),"",(R72-ABS(N($F72)))/$E72)</f>
        <v/>
      </c>
      <c r="AJ72" s="26" t="str">
        <f aca="false">IF(OR(S72="",$E72="",N($E72)&lt;=0),"",(S72-ABS(N($F72)))/$E72)</f>
        <v/>
      </c>
      <c r="AK72" s="26" t="str">
        <f aca="false">IF(OR(T72="",$E72="",N($E72)&lt;=0),"",(T72-ABS(N($F72)))/$E72)</f>
        <v/>
      </c>
      <c r="AL72" s="26" t="str">
        <f aca="false">IF(OR(U72="",$E72="",N($E72)&lt;=0),"",(U72-ABS(N($F72)))/$E72)</f>
        <v/>
      </c>
      <c r="AM72" s="26" t="str">
        <f aca="false">IF(OR(V72="",$E72="",N($E72)&lt;=0),"",(V72-ABS(N($F72)))/$E72)</f>
        <v/>
      </c>
      <c r="AN72" s="26" t="str">
        <f aca="false">IF(OR(W72="",$E72="",N($E72)&lt;=0),"",(W72-ABS(N($F72)))/$E72)</f>
        <v/>
      </c>
      <c r="AO72" s="26" t="str">
        <f aca="false">IF(OR(X72="",$E72="",N($E72)&lt;=0),"",(X72-ABS(N($F72)))/$E72)</f>
        <v/>
      </c>
      <c r="AP72" s="26" t="str">
        <f aca="false">IF(OR(Y72="",$E72="",N($E72)&lt;=0),"",(Y72-ABS(N($F72)))/$E72)</f>
        <v/>
      </c>
    </row>
    <row r="73" customFormat="false" ht="15" hidden="false" customHeight="true" outlineLevel="0" collapsed="false">
      <c r="A73" s="9" t="s">
        <v>207</v>
      </c>
      <c r="B73" s="11" t="s">
        <v>329</v>
      </c>
      <c r="C73" s="11" t="s">
        <v>330</v>
      </c>
      <c r="D73" s="21" t="n">
        <v>3.46271</v>
      </c>
      <c r="E73" s="22" t="n">
        <v>2.415</v>
      </c>
      <c r="F73" s="22" t="n">
        <v>2.05</v>
      </c>
      <c r="G73" s="23" t="n">
        <v>1043</v>
      </c>
      <c r="H73" s="11" t="s">
        <v>331</v>
      </c>
      <c r="I73" s="24" t="n">
        <f aca="false">MATCH(A73,'TEa input'!$A$6:$A$68,0)</f>
        <v>33</v>
      </c>
      <c r="J73" s="25" t="n">
        <f aca="false">IF(INDEX('TEa input'!$E$6:$E$68,$I73)="","",INDEX('TEa input'!$E$6:$E$68,$I73))</f>
        <v>8</v>
      </c>
      <c r="K73" s="25" t="str">
        <f aca="false">IF(INDEX('TEa input'!$G$6:$G$68,$I73)="","",INDEX('TEa input'!$G$6:$G$68,$I73))</f>
        <v/>
      </c>
      <c r="L73" s="25" t="n">
        <f aca="false">IF(INDEX('TEa input'!$I$6:$I$68,$I73)="","",INDEX('TEa input'!$I$6:$I$68,$I73))</f>
        <v>8</v>
      </c>
      <c r="M73" s="25" t="str">
        <f aca="false">IF(INDEX('TEa input'!$K$6:$K$68,$I73)="","",INDEX('TEa input'!$K$6:$K$68,$I73))</f>
        <v/>
      </c>
      <c r="N73" s="25" t="n">
        <f aca="false">IF(INDEX('TEa input'!$M$6:$M$68,$I73)="","",INDEX('TEa input'!$M$6:$M$68,$I73))</f>
        <v>8</v>
      </c>
      <c r="O73" s="25" t="str">
        <f aca="false">IF(INDEX('TEa input'!$O$6:$O$68,$I73)="","",INDEX('TEa input'!$O$6:$O$68,$I73))</f>
        <v/>
      </c>
      <c r="P73" s="25" t="str">
        <f aca="false">IF(INDEX('TEa input'!$Q$6:$Q$68,$I73)="","",INDEX('TEa input'!$Q$6:$Q$68,$I73))</f>
        <v/>
      </c>
      <c r="Q73" s="25" t="str">
        <f aca="false">IF(INDEX('TEa input'!$R$6:$R$68,$I73)="","",INDEX('TEa input'!$R$6:$R$68,$I73))</f>
        <v/>
      </c>
      <c r="R73" s="25" t="str">
        <f aca="false">IF(INDEX('TEa input'!$T$6:$T$68,$I73)="","",INDEX('TEa input'!$T$6:$T$68,$I73))</f>
        <v/>
      </c>
      <c r="S73" s="25" t="str">
        <f aca="false">IF(INDEX('TEa input'!$Y$6:$Y$68,$I73)="","",INDEX('TEa input'!$Y$6:$Y$68,$I73))</f>
        <v/>
      </c>
      <c r="T73" s="25" t="str">
        <f aca="false">IF(INDEX('TEa input'!$Z$6:$Z$68,$I73)="","",INDEX('TEa input'!$Z$6:$Z$68,$I73))</f>
        <v/>
      </c>
      <c r="U73" s="25" t="str">
        <f aca="false">IF(INDEX('TEa input'!$AA$6:$AA$68,$I73)="","",INDEX('TEa input'!$AA$6:$AA$68,$I73))</f>
        <v/>
      </c>
      <c r="V73" s="25" t="str">
        <f aca="false">IF(INDEX('TEa input'!$AB$6:$AB$68,$I73)="","",INDEX('TEa input'!$AB$6:$AB$68,$I73))</f>
        <v/>
      </c>
      <c r="W73" s="25" t="str">
        <f aca="false">IF(INDEX('TEa input'!$AC$6:$AC$68,$I73)="","",INDEX('TEa input'!$AC$6:$AC$68,$I73))</f>
        <v/>
      </c>
      <c r="X73" s="25" t="str">
        <f aca="false">IF(INDEX('TEa input'!$AD$6:$AD$68,$I73)="","",INDEX('TEa input'!$AD$6:$AD$68,$I73))</f>
        <v/>
      </c>
      <c r="Y73" s="25" t="str">
        <f aca="false">IF(INDEX('TEa input'!$AF$6:$AF$68,$I73)="","",INDEX('TEa input'!$AF$6:$AF$68,$I73))</f>
        <v/>
      </c>
      <c r="AA73" s="26" t="n">
        <f aca="false">IF(OR(J73="",$E73="",N($E73)&lt;=0),"",(J73-ABS(N($F73)))/$E73)</f>
        <v>2.46376811594203</v>
      </c>
      <c r="AB73" s="26" t="str">
        <f aca="false">IF(OR(K73="",$E73="",N($E73)&lt;=0),"",(K73-ABS(N($F73)))/$E73)</f>
        <v/>
      </c>
      <c r="AC73" s="26" t="n">
        <f aca="false">IF(OR(L73="",$E73="",N($E73)&lt;=0),"",(L73-ABS(N($F73)))/$E73)</f>
        <v>2.46376811594203</v>
      </c>
      <c r="AD73" s="26" t="str">
        <f aca="false">IF(OR(M73="",$E73="",N($E73)&lt;=0),"",(M73-ABS(N($F73)))/$E73)</f>
        <v/>
      </c>
      <c r="AE73" s="26" t="n">
        <f aca="false">IF(OR(N73="",$E73="",N($E73)&lt;=0),"",(N73-ABS(N($F73)))/$E73)</f>
        <v>2.46376811594203</v>
      </c>
      <c r="AF73" s="26" t="str">
        <f aca="false">IF(OR(O73="",$E73="",N($E73)&lt;=0),"",(O73-ABS(N($F73)))/$E73)</f>
        <v/>
      </c>
      <c r="AG73" s="26" t="str">
        <f aca="false">IF(OR(P73="",$E73="",N($E73)&lt;=0),"",(P73-ABS(N($F73)))/$E73)</f>
        <v/>
      </c>
      <c r="AH73" s="26" t="str">
        <f aca="false">IF(OR(Q73="",$E73="",N($E73)&lt;=0),"",(Q73-ABS(N($F73)))/$E73)</f>
        <v/>
      </c>
      <c r="AI73" s="26" t="str">
        <f aca="false">IF(OR(R73="",$E73="",N($E73)&lt;=0),"",(R73-ABS(N($F73)))/$E73)</f>
        <v/>
      </c>
      <c r="AJ73" s="26" t="str">
        <f aca="false">IF(OR(S73="",$E73="",N($E73)&lt;=0),"",(S73-ABS(N($F73)))/$E73)</f>
        <v/>
      </c>
      <c r="AK73" s="26" t="str">
        <f aca="false">IF(OR(T73="",$E73="",N($E73)&lt;=0),"",(T73-ABS(N($F73)))/$E73)</f>
        <v/>
      </c>
      <c r="AL73" s="26" t="str">
        <f aca="false">IF(OR(U73="",$E73="",N($E73)&lt;=0),"",(U73-ABS(N($F73)))/$E73)</f>
        <v/>
      </c>
      <c r="AM73" s="26" t="str">
        <f aca="false">IF(OR(V73="",$E73="",N($E73)&lt;=0),"",(V73-ABS(N($F73)))/$E73)</f>
        <v/>
      </c>
      <c r="AN73" s="26" t="str">
        <f aca="false">IF(OR(W73="",$E73="",N($E73)&lt;=0),"",(W73-ABS(N($F73)))/$E73)</f>
        <v/>
      </c>
      <c r="AO73" s="26" t="str">
        <f aca="false">IF(OR(X73="",$E73="",N($E73)&lt;=0),"",(X73-ABS(N($F73)))/$E73)</f>
        <v/>
      </c>
      <c r="AP73" s="26" t="str">
        <f aca="false">IF(OR(Y73="",$E73="",N($E73)&lt;=0),"",(Y73-ABS(N($F73)))/$E73)</f>
        <v/>
      </c>
    </row>
    <row r="74" customFormat="false" ht="15" hidden="false" customHeight="true" outlineLevel="0" collapsed="false">
      <c r="A74" s="9" t="s">
        <v>211</v>
      </c>
      <c r="B74" s="11" t="s">
        <v>326</v>
      </c>
      <c r="C74" s="11" t="s">
        <v>327</v>
      </c>
      <c r="D74" s="21" t="n">
        <v>1.58243</v>
      </c>
      <c r="E74" s="22" t="n">
        <v>1.928</v>
      </c>
      <c r="F74" s="22" t="n">
        <v>1.512</v>
      </c>
      <c r="G74" s="23" t="n">
        <v>933</v>
      </c>
      <c r="H74" s="11" t="s">
        <v>340</v>
      </c>
      <c r="I74" s="24" t="n">
        <f aca="false">MATCH(A74,'TEa input'!$A$6:$A$68,0)</f>
        <v>34</v>
      </c>
      <c r="J74" s="25" t="n">
        <f aca="false">IF(INDEX('TEa input'!$E$6:$E$68,$I74)="","",INDEX('TEa input'!$E$6:$E$68,$I74))</f>
        <v>15</v>
      </c>
      <c r="K74" s="25" t="n">
        <f aca="false">IF(INDEX('TEa input'!$G$6:$G$68,$I74)="","",INDEX('TEa input'!$G$6:$G$68,$I74))</f>
        <v>20</v>
      </c>
      <c r="L74" s="25" t="n">
        <f aca="false">IF(INDEX('TEa input'!$I$6:$I$68,$I74)="","",INDEX('TEa input'!$I$6:$I$68,$I74))</f>
        <v>12</v>
      </c>
      <c r="M74" s="25" t="str">
        <f aca="false">IF(INDEX('TEa input'!$K$6:$K$68,$I74)="","",INDEX('TEa input'!$K$6:$K$68,$I74))</f>
        <v/>
      </c>
      <c r="N74" s="25" t="str">
        <f aca="false">IF(INDEX('TEa input'!$M$6:$M$68,$I74)="","",INDEX('TEa input'!$M$6:$M$68,$I74))</f>
        <v/>
      </c>
      <c r="O74" s="25" t="n">
        <f aca="false">IF(INDEX('TEa input'!$O$6:$O$68,$I74)="","",INDEX('TEa input'!$O$6:$O$68,$I74))</f>
        <v>20</v>
      </c>
      <c r="P74" s="25" t="n">
        <f aca="false">IF(INDEX('TEa input'!$Q$6:$Q$68,$I74)="","",INDEX('TEa input'!$Q$6:$Q$68,$I74))</f>
        <v>20</v>
      </c>
      <c r="Q74" s="25" t="n">
        <f aca="false">IF(INDEX('TEa input'!$R$6:$R$68,$I74)="","",INDEX('TEa input'!$R$6:$R$68,$I74))</f>
        <v>10.6</v>
      </c>
      <c r="R74" s="25" t="str">
        <f aca="false">IF(INDEX('TEa input'!$T$6:$T$68,$I74)="","",INDEX('TEa input'!$T$6:$T$68,$I74))</f>
        <v/>
      </c>
      <c r="S74" s="25" t="str">
        <f aca="false">IF(INDEX('TEa input'!$Y$6:$Y$68,$I74)="","",INDEX('TEa input'!$Y$6:$Y$68,$I74))</f>
        <v/>
      </c>
      <c r="T74" s="25" t="str">
        <f aca="false">IF(INDEX('TEa input'!$Z$6:$Z$68,$I74)="","",INDEX('TEa input'!$Z$6:$Z$68,$I74))</f>
        <v/>
      </c>
      <c r="U74" s="25" t="str">
        <f aca="false">IF(INDEX('TEa input'!$AA$6:$AA$68,$I74)="","",INDEX('TEa input'!$AA$6:$AA$68,$I74))</f>
        <v/>
      </c>
      <c r="V74" s="25" t="str">
        <f aca="false">IF(INDEX('TEa input'!$AB$6:$AB$68,$I74)="","",INDEX('TEa input'!$AB$6:$AB$68,$I74))</f>
        <v/>
      </c>
      <c r="W74" s="25" t="n">
        <f aca="false">IF(INDEX('TEa input'!$AC$6:$AC$68,$I74)="","",INDEX('TEa input'!$AC$6:$AC$68,$I74))</f>
        <v>13.5</v>
      </c>
      <c r="X74" s="25" t="str">
        <f aca="false">IF(INDEX('TEa input'!$AD$6:$AD$68,$I74)="","",INDEX('TEa input'!$AD$6:$AD$68,$I74))</f>
        <v/>
      </c>
      <c r="Y74" s="25" t="str">
        <f aca="false">IF(INDEX('TEa input'!$AF$6:$AF$68,$I74)="","",INDEX('TEa input'!$AF$6:$AF$68,$I74))</f>
        <v/>
      </c>
      <c r="AA74" s="26" t="n">
        <f aca="false">IF(OR(J74="",$E74="",N($E74)&lt;=0),"",(J74-ABS(N($F74)))/$E74)</f>
        <v>6.99585062240664</v>
      </c>
      <c r="AB74" s="26" t="n">
        <f aca="false">IF(OR(K74="",$E74="",N($E74)&lt;=0),"",(K74-ABS(N($F74)))/$E74)</f>
        <v>9.58921161825726</v>
      </c>
      <c r="AC74" s="26" t="n">
        <f aca="false">IF(OR(L74="",$E74="",N($E74)&lt;=0),"",(L74-ABS(N($F74)))/$E74)</f>
        <v>5.43983402489627</v>
      </c>
      <c r="AD74" s="26" t="str">
        <f aca="false">IF(OR(M74="",$E74="",N($E74)&lt;=0),"",(M74-ABS(N($F74)))/$E74)</f>
        <v/>
      </c>
      <c r="AE74" s="26" t="str">
        <f aca="false">IF(OR(N74="",$E74="",N($E74)&lt;=0),"",(N74-ABS(N($F74)))/$E74)</f>
        <v/>
      </c>
      <c r="AF74" s="26" t="n">
        <f aca="false">IF(OR(O74="",$E74="",N($E74)&lt;=0),"",(O74-ABS(N($F74)))/$E74)</f>
        <v>9.58921161825726</v>
      </c>
      <c r="AG74" s="26" t="n">
        <f aca="false">IF(OR(P74="",$E74="",N($E74)&lt;=0),"",(P74-ABS(N($F74)))/$E74)</f>
        <v>9.58921161825726</v>
      </c>
      <c r="AH74" s="26" t="n">
        <f aca="false">IF(OR(Q74="",$E74="",N($E74)&lt;=0),"",(Q74-ABS(N($F74)))/$E74)</f>
        <v>4.71369294605809</v>
      </c>
      <c r="AI74" s="26" t="str">
        <f aca="false">IF(OR(R74="",$E74="",N($E74)&lt;=0),"",(R74-ABS(N($F74)))/$E74)</f>
        <v/>
      </c>
      <c r="AJ74" s="26" t="str">
        <f aca="false">IF(OR(S74="",$E74="",N($E74)&lt;=0),"",(S74-ABS(N($F74)))/$E74)</f>
        <v/>
      </c>
      <c r="AK74" s="26" t="str">
        <f aca="false">IF(OR(T74="",$E74="",N($E74)&lt;=0),"",(T74-ABS(N($F74)))/$E74)</f>
        <v/>
      </c>
      <c r="AL74" s="26" t="str">
        <f aca="false">IF(OR(U74="",$E74="",N($E74)&lt;=0),"",(U74-ABS(N($F74)))/$E74)</f>
        <v/>
      </c>
      <c r="AM74" s="26" t="str">
        <f aca="false">IF(OR(V74="",$E74="",N($E74)&lt;=0),"",(V74-ABS(N($F74)))/$E74)</f>
        <v/>
      </c>
      <c r="AN74" s="26" t="n">
        <f aca="false">IF(OR(W74="",$E74="",N($E74)&lt;=0),"",(W74-ABS(N($F74)))/$E74)</f>
        <v>6.21784232365145</v>
      </c>
      <c r="AO74" s="26" t="str">
        <f aca="false">IF(OR(X74="",$E74="",N($E74)&lt;=0),"",(X74-ABS(N($F74)))/$E74)</f>
        <v/>
      </c>
      <c r="AP74" s="26" t="str">
        <f aca="false">IF(OR(Y74="",$E74="",N($E74)&lt;=0),"",(Y74-ABS(N($F74)))/$E74)</f>
        <v/>
      </c>
    </row>
    <row r="75" customFormat="false" ht="15" hidden="false" customHeight="true" outlineLevel="0" collapsed="false">
      <c r="A75" s="9" t="s">
        <v>211</v>
      </c>
      <c r="B75" s="11" t="s">
        <v>329</v>
      </c>
      <c r="C75" s="11" t="s">
        <v>330</v>
      </c>
      <c r="D75" s="21" t="n">
        <v>2.64549</v>
      </c>
      <c r="E75" s="22" t="n">
        <v>2.315</v>
      </c>
      <c r="F75" s="22" t="n">
        <v>1.137</v>
      </c>
      <c r="G75" s="23" t="n">
        <v>933</v>
      </c>
      <c r="H75" s="11" t="s">
        <v>340</v>
      </c>
      <c r="I75" s="24" t="n">
        <f aca="false">MATCH(A75,'TEa input'!$A$6:$A$68,0)</f>
        <v>34</v>
      </c>
      <c r="J75" s="25" t="n">
        <f aca="false">IF(INDEX('TEa input'!$E$6:$E$68,$I75)="","",INDEX('TEa input'!$E$6:$E$68,$I75))</f>
        <v>15</v>
      </c>
      <c r="K75" s="25" t="n">
        <f aca="false">IF(INDEX('TEa input'!$G$6:$G$68,$I75)="","",INDEX('TEa input'!$G$6:$G$68,$I75))</f>
        <v>20</v>
      </c>
      <c r="L75" s="25" t="n">
        <f aca="false">IF(INDEX('TEa input'!$I$6:$I$68,$I75)="","",INDEX('TEa input'!$I$6:$I$68,$I75))</f>
        <v>12</v>
      </c>
      <c r="M75" s="25" t="str">
        <f aca="false">IF(INDEX('TEa input'!$K$6:$K$68,$I75)="","",INDEX('TEa input'!$K$6:$K$68,$I75))</f>
        <v/>
      </c>
      <c r="N75" s="25" t="str">
        <f aca="false">IF(INDEX('TEa input'!$M$6:$M$68,$I75)="","",INDEX('TEa input'!$M$6:$M$68,$I75))</f>
        <v/>
      </c>
      <c r="O75" s="25" t="n">
        <f aca="false">IF(INDEX('TEa input'!$O$6:$O$68,$I75)="","",INDEX('TEa input'!$O$6:$O$68,$I75))</f>
        <v>20</v>
      </c>
      <c r="P75" s="25" t="n">
        <f aca="false">IF(INDEX('TEa input'!$Q$6:$Q$68,$I75)="","",INDEX('TEa input'!$Q$6:$Q$68,$I75))</f>
        <v>20</v>
      </c>
      <c r="Q75" s="25" t="n">
        <f aca="false">IF(INDEX('TEa input'!$R$6:$R$68,$I75)="","",INDEX('TEa input'!$R$6:$R$68,$I75))</f>
        <v>10.6</v>
      </c>
      <c r="R75" s="25" t="str">
        <f aca="false">IF(INDEX('TEa input'!$T$6:$T$68,$I75)="","",INDEX('TEa input'!$T$6:$T$68,$I75))</f>
        <v/>
      </c>
      <c r="S75" s="25" t="str">
        <f aca="false">IF(INDEX('TEa input'!$Y$6:$Y$68,$I75)="","",INDEX('TEa input'!$Y$6:$Y$68,$I75))</f>
        <v/>
      </c>
      <c r="T75" s="25" t="str">
        <f aca="false">IF(INDEX('TEa input'!$Z$6:$Z$68,$I75)="","",INDEX('TEa input'!$Z$6:$Z$68,$I75))</f>
        <v/>
      </c>
      <c r="U75" s="25" t="str">
        <f aca="false">IF(INDEX('TEa input'!$AA$6:$AA$68,$I75)="","",INDEX('TEa input'!$AA$6:$AA$68,$I75))</f>
        <v/>
      </c>
      <c r="V75" s="25" t="str">
        <f aca="false">IF(INDEX('TEa input'!$AB$6:$AB$68,$I75)="","",INDEX('TEa input'!$AB$6:$AB$68,$I75))</f>
        <v/>
      </c>
      <c r="W75" s="25" t="n">
        <f aca="false">IF(INDEX('TEa input'!$AC$6:$AC$68,$I75)="","",INDEX('TEa input'!$AC$6:$AC$68,$I75))</f>
        <v>13.5</v>
      </c>
      <c r="X75" s="25" t="str">
        <f aca="false">IF(INDEX('TEa input'!$AD$6:$AD$68,$I75)="","",INDEX('TEa input'!$AD$6:$AD$68,$I75))</f>
        <v/>
      </c>
      <c r="Y75" s="25" t="str">
        <f aca="false">IF(INDEX('TEa input'!$AF$6:$AF$68,$I75)="","",INDEX('TEa input'!$AF$6:$AF$68,$I75))</f>
        <v/>
      </c>
      <c r="AA75" s="26" t="n">
        <f aca="false">IF(OR(J75="",$E75="",N($E75)&lt;=0),"",(J75-ABS(N($F75)))/$E75)</f>
        <v>5.98833693304536</v>
      </c>
      <c r="AB75" s="26" t="n">
        <f aca="false">IF(OR(K75="",$E75="",N($E75)&lt;=0),"",(K75-ABS(N($F75)))/$E75)</f>
        <v>8.14816414686825</v>
      </c>
      <c r="AC75" s="26" t="n">
        <f aca="false">IF(OR(L75="",$E75="",N($E75)&lt;=0),"",(L75-ABS(N($F75)))/$E75)</f>
        <v>4.69244060475162</v>
      </c>
      <c r="AD75" s="26" t="str">
        <f aca="false">IF(OR(M75="",$E75="",N($E75)&lt;=0),"",(M75-ABS(N($F75)))/$E75)</f>
        <v/>
      </c>
      <c r="AE75" s="26" t="str">
        <f aca="false">IF(OR(N75="",$E75="",N($E75)&lt;=0),"",(N75-ABS(N($F75)))/$E75)</f>
        <v/>
      </c>
      <c r="AF75" s="26" t="n">
        <f aca="false">IF(OR(O75="",$E75="",N($E75)&lt;=0),"",(O75-ABS(N($F75)))/$E75)</f>
        <v>8.14816414686825</v>
      </c>
      <c r="AG75" s="26" t="n">
        <f aca="false">IF(OR(P75="",$E75="",N($E75)&lt;=0),"",(P75-ABS(N($F75)))/$E75)</f>
        <v>8.14816414686825</v>
      </c>
      <c r="AH75" s="26" t="n">
        <f aca="false">IF(OR(Q75="",$E75="",N($E75)&lt;=0),"",(Q75-ABS(N($F75)))/$E75)</f>
        <v>4.08768898488121</v>
      </c>
      <c r="AI75" s="26" t="str">
        <f aca="false">IF(OR(R75="",$E75="",N($E75)&lt;=0),"",(R75-ABS(N($F75)))/$E75)</f>
        <v/>
      </c>
      <c r="AJ75" s="26" t="str">
        <f aca="false">IF(OR(S75="",$E75="",N($E75)&lt;=0),"",(S75-ABS(N($F75)))/$E75)</f>
        <v/>
      </c>
      <c r="AK75" s="26" t="str">
        <f aca="false">IF(OR(T75="",$E75="",N($E75)&lt;=0),"",(T75-ABS(N($F75)))/$E75)</f>
        <v/>
      </c>
      <c r="AL75" s="26" t="str">
        <f aca="false">IF(OR(U75="",$E75="",N($E75)&lt;=0),"",(U75-ABS(N($F75)))/$E75)</f>
        <v/>
      </c>
      <c r="AM75" s="26" t="str">
        <f aca="false">IF(OR(V75="",$E75="",N($E75)&lt;=0),"",(V75-ABS(N($F75)))/$E75)</f>
        <v/>
      </c>
      <c r="AN75" s="26" t="n">
        <f aca="false">IF(OR(W75="",$E75="",N($E75)&lt;=0),"",(W75-ABS(N($F75)))/$E75)</f>
        <v>5.34038876889849</v>
      </c>
      <c r="AO75" s="26" t="str">
        <f aca="false">IF(OR(X75="",$E75="",N($E75)&lt;=0),"",(X75-ABS(N($F75)))/$E75)</f>
        <v/>
      </c>
      <c r="AP75" s="26" t="str">
        <f aca="false">IF(OR(Y75="",$E75="",N($E75)&lt;=0),"",(Y75-ABS(N($F75)))/$E75)</f>
        <v/>
      </c>
    </row>
    <row r="76" customFormat="false" ht="15" hidden="false" customHeight="true" outlineLevel="0" collapsed="false">
      <c r="A76" s="9" t="s">
        <v>212</v>
      </c>
      <c r="B76" s="11" t="s">
        <v>326</v>
      </c>
      <c r="C76" s="11" t="s">
        <v>327</v>
      </c>
      <c r="D76" s="21" t="n">
        <v>8.40585</v>
      </c>
      <c r="E76" s="22" t="n">
        <v>1.262</v>
      </c>
      <c r="F76" s="22" t="n">
        <v>0.421</v>
      </c>
      <c r="G76" s="23" t="n">
        <v>927</v>
      </c>
      <c r="H76" s="11" t="s">
        <v>340</v>
      </c>
      <c r="I76" s="24" t="n">
        <f aca="false">MATCH(A76,'TEa input'!$A$6:$A$68,0)</f>
        <v>35</v>
      </c>
      <c r="J76" s="25" t="n">
        <f aca="false">IF(INDEX('TEa input'!$E$6:$E$68,$I76)="","",INDEX('TEa input'!$E$6:$E$68,$I76))</f>
        <v>8</v>
      </c>
      <c r="K76" s="25" t="n">
        <f aca="false">IF(INDEX('TEa input'!$G$6:$G$68,$I76)="","",INDEX('TEa input'!$G$6:$G$68,$I76))</f>
        <v>20</v>
      </c>
      <c r="L76" s="25" t="n">
        <f aca="false">IF(INDEX('TEa input'!$I$6:$I$68,$I76)="","",INDEX('TEa input'!$I$6:$I$68,$I76))</f>
        <v>10</v>
      </c>
      <c r="M76" s="25" t="str">
        <f aca="false">IF(INDEX('TEa input'!$K$6:$K$68,$I76)="","",INDEX('TEa input'!$K$6:$K$68,$I76))</f>
        <v/>
      </c>
      <c r="N76" s="25" t="str">
        <f aca="false">IF(INDEX('TEa input'!$M$6:$M$68,$I76)="","",INDEX('TEa input'!$M$6:$M$68,$I76))</f>
        <v/>
      </c>
      <c r="O76" s="25" t="n">
        <f aca="false">IF(INDEX('TEa input'!$O$6:$O$68,$I76)="","",INDEX('TEa input'!$O$6:$O$68,$I76))</f>
        <v>20</v>
      </c>
      <c r="P76" s="25" t="n">
        <f aca="false">IF(INDEX('TEa input'!$Q$6:$Q$68,$I76)="","",INDEX('TEa input'!$Q$6:$Q$68,$I76))</f>
        <v>18</v>
      </c>
      <c r="Q76" s="25" t="n">
        <f aca="false">IF(INDEX('TEa input'!$R$6:$R$68,$I76)="","",INDEX('TEa input'!$R$6:$R$68,$I76))</f>
        <v>9.3</v>
      </c>
      <c r="R76" s="25" t="str">
        <f aca="false">IF(INDEX('TEa input'!$T$6:$T$68,$I76)="","",INDEX('TEa input'!$T$6:$T$68,$I76))</f>
        <v/>
      </c>
      <c r="S76" s="25" t="str">
        <f aca="false">IF(INDEX('TEa input'!$Y$6:$Y$68,$I76)="","",INDEX('TEa input'!$Y$6:$Y$68,$I76))</f>
        <v/>
      </c>
      <c r="T76" s="25" t="str">
        <f aca="false">IF(INDEX('TEa input'!$Z$6:$Z$68,$I76)="","",INDEX('TEa input'!$Z$6:$Z$68,$I76))</f>
        <v/>
      </c>
      <c r="U76" s="25" t="str">
        <f aca="false">IF(INDEX('TEa input'!$AA$6:$AA$68,$I76)="","",INDEX('TEa input'!$AA$6:$AA$68,$I76))</f>
        <v/>
      </c>
      <c r="V76" s="25" t="str">
        <f aca="false">IF(INDEX('TEa input'!$AB$6:$AB$68,$I76)="","",INDEX('TEa input'!$AB$6:$AB$68,$I76))</f>
        <v/>
      </c>
      <c r="W76" s="25" t="n">
        <f aca="false">IF(INDEX('TEa input'!$AC$6:$AC$68,$I76)="","",INDEX('TEa input'!$AC$6:$AC$68,$I76))</f>
        <v>8</v>
      </c>
      <c r="X76" s="25" t="str">
        <f aca="false">IF(INDEX('TEa input'!$AD$6:$AD$68,$I76)="","",INDEX('TEa input'!$AD$6:$AD$68,$I76))</f>
        <v/>
      </c>
      <c r="Y76" s="25" t="str">
        <f aca="false">IF(INDEX('TEa input'!$AF$6:$AF$68,$I76)="","",INDEX('TEa input'!$AF$6:$AF$68,$I76))</f>
        <v/>
      </c>
      <c r="AA76" s="26" t="n">
        <f aca="false">IF(OR(J76="",$E76="",N($E76)&lt;=0),"",(J76-ABS(N($F76)))/$E76)</f>
        <v>6.00554675118859</v>
      </c>
      <c r="AB76" s="26" t="n">
        <f aca="false">IF(OR(K76="",$E76="",N($E76)&lt;=0),"",(K76-ABS(N($F76)))/$E76)</f>
        <v>15.5142630744849</v>
      </c>
      <c r="AC76" s="26" t="n">
        <f aca="false">IF(OR(L76="",$E76="",N($E76)&lt;=0),"",(L76-ABS(N($F76)))/$E76)</f>
        <v>7.59033280507132</v>
      </c>
      <c r="AD76" s="26" t="str">
        <f aca="false">IF(OR(M76="",$E76="",N($E76)&lt;=0),"",(M76-ABS(N($F76)))/$E76)</f>
        <v/>
      </c>
      <c r="AE76" s="26" t="str">
        <f aca="false">IF(OR(N76="",$E76="",N($E76)&lt;=0),"",(N76-ABS(N($F76)))/$E76)</f>
        <v/>
      </c>
      <c r="AF76" s="26" t="n">
        <f aca="false">IF(OR(O76="",$E76="",N($E76)&lt;=0),"",(O76-ABS(N($F76)))/$E76)</f>
        <v>15.5142630744849</v>
      </c>
      <c r="AG76" s="26" t="n">
        <f aca="false">IF(OR(P76="",$E76="",N($E76)&lt;=0),"",(P76-ABS(N($F76)))/$E76)</f>
        <v>13.9294770206022</v>
      </c>
      <c r="AH76" s="26" t="n">
        <f aca="false">IF(OR(Q76="",$E76="",N($E76)&lt;=0),"",(Q76-ABS(N($F76)))/$E76)</f>
        <v>7.03565768621236</v>
      </c>
      <c r="AI76" s="26" t="str">
        <f aca="false">IF(OR(R76="",$E76="",N($E76)&lt;=0),"",(R76-ABS(N($F76)))/$E76)</f>
        <v/>
      </c>
      <c r="AJ76" s="26" t="str">
        <f aca="false">IF(OR(S76="",$E76="",N($E76)&lt;=0),"",(S76-ABS(N($F76)))/$E76)</f>
        <v/>
      </c>
      <c r="AK76" s="26" t="str">
        <f aca="false">IF(OR(T76="",$E76="",N($E76)&lt;=0),"",(T76-ABS(N($F76)))/$E76)</f>
        <v/>
      </c>
      <c r="AL76" s="26" t="str">
        <f aca="false">IF(OR(U76="",$E76="",N($E76)&lt;=0),"",(U76-ABS(N($F76)))/$E76)</f>
        <v/>
      </c>
      <c r="AM76" s="26" t="str">
        <f aca="false">IF(OR(V76="",$E76="",N($E76)&lt;=0),"",(V76-ABS(N($F76)))/$E76)</f>
        <v/>
      </c>
      <c r="AN76" s="26" t="n">
        <f aca="false">IF(OR(W76="",$E76="",N($E76)&lt;=0),"",(W76-ABS(N($F76)))/$E76)</f>
        <v>6.00554675118859</v>
      </c>
      <c r="AO76" s="26" t="str">
        <f aca="false">IF(OR(X76="",$E76="",N($E76)&lt;=0),"",(X76-ABS(N($F76)))/$E76)</f>
        <v/>
      </c>
      <c r="AP76" s="26" t="str">
        <f aca="false">IF(OR(Y76="",$E76="",N($E76)&lt;=0),"",(Y76-ABS(N($F76)))/$E76)</f>
        <v/>
      </c>
    </row>
    <row r="77" customFormat="false" ht="15" hidden="false" customHeight="true" outlineLevel="0" collapsed="false">
      <c r="A77" s="9" t="s">
        <v>212</v>
      </c>
      <c r="B77" s="11" t="s">
        <v>329</v>
      </c>
      <c r="C77" s="11" t="s">
        <v>330</v>
      </c>
      <c r="D77" s="21" t="n">
        <v>13.6334</v>
      </c>
      <c r="E77" s="22" t="n">
        <v>1.322</v>
      </c>
      <c r="F77" s="22" t="n">
        <v>0.361</v>
      </c>
      <c r="G77" s="23" t="n">
        <v>927</v>
      </c>
      <c r="H77" s="11" t="s">
        <v>340</v>
      </c>
      <c r="I77" s="24" t="n">
        <f aca="false">MATCH(A77,'TEa input'!$A$6:$A$68,0)</f>
        <v>35</v>
      </c>
      <c r="J77" s="25" t="n">
        <f aca="false">IF(INDEX('TEa input'!$E$6:$E$68,$I77)="","",INDEX('TEa input'!$E$6:$E$68,$I77))</f>
        <v>8</v>
      </c>
      <c r="K77" s="25" t="n">
        <f aca="false">IF(INDEX('TEa input'!$G$6:$G$68,$I77)="","",INDEX('TEa input'!$G$6:$G$68,$I77))</f>
        <v>20</v>
      </c>
      <c r="L77" s="25" t="n">
        <f aca="false">IF(INDEX('TEa input'!$I$6:$I$68,$I77)="","",INDEX('TEa input'!$I$6:$I$68,$I77))</f>
        <v>10</v>
      </c>
      <c r="M77" s="25" t="str">
        <f aca="false">IF(INDEX('TEa input'!$K$6:$K$68,$I77)="","",INDEX('TEa input'!$K$6:$K$68,$I77))</f>
        <v/>
      </c>
      <c r="N77" s="25" t="str">
        <f aca="false">IF(INDEX('TEa input'!$M$6:$M$68,$I77)="","",INDEX('TEa input'!$M$6:$M$68,$I77))</f>
        <v/>
      </c>
      <c r="O77" s="25" t="n">
        <f aca="false">IF(INDEX('TEa input'!$O$6:$O$68,$I77)="","",INDEX('TEa input'!$O$6:$O$68,$I77))</f>
        <v>20</v>
      </c>
      <c r="P77" s="25" t="n">
        <f aca="false">IF(INDEX('TEa input'!$Q$6:$Q$68,$I77)="","",INDEX('TEa input'!$Q$6:$Q$68,$I77))</f>
        <v>18</v>
      </c>
      <c r="Q77" s="25" t="n">
        <f aca="false">IF(INDEX('TEa input'!$R$6:$R$68,$I77)="","",INDEX('TEa input'!$R$6:$R$68,$I77))</f>
        <v>9.3</v>
      </c>
      <c r="R77" s="25" t="str">
        <f aca="false">IF(INDEX('TEa input'!$T$6:$T$68,$I77)="","",INDEX('TEa input'!$T$6:$T$68,$I77))</f>
        <v/>
      </c>
      <c r="S77" s="25" t="str">
        <f aca="false">IF(INDEX('TEa input'!$Y$6:$Y$68,$I77)="","",INDEX('TEa input'!$Y$6:$Y$68,$I77))</f>
        <v/>
      </c>
      <c r="T77" s="25" t="str">
        <f aca="false">IF(INDEX('TEa input'!$Z$6:$Z$68,$I77)="","",INDEX('TEa input'!$Z$6:$Z$68,$I77))</f>
        <v/>
      </c>
      <c r="U77" s="25" t="str">
        <f aca="false">IF(INDEX('TEa input'!$AA$6:$AA$68,$I77)="","",INDEX('TEa input'!$AA$6:$AA$68,$I77))</f>
        <v/>
      </c>
      <c r="V77" s="25" t="str">
        <f aca="false">IF(INDEX('TEa input'!$AB$6:$AB$68,$I77)="","",INDEX('TEa input'!$AB$6:$AB$68,$I77))</f>
        <v/>
      </c>
      <c r="W77" s="25" t="n">
        <f aca="false">IF(INDEX('TEa input'!$AC$6:$AC$68,$I77)="","",INDEX('TEa input'!$AC$6:$AC$68,$I77))</f>
        <v>8</v>
      </c>
      <c r="X77" s="25" t="str">
        <f aca="false">IF(INDEX('TEa input'!$AD$6:$AD$68,$I77)="","",INDEX('TEa input'!$AD$6:$AD$68,$I77))</f>
        <v/>
      </c>
      <c r="Y77" s="25" t="str">
        <f aca="false">IF(INDEX('TEa input'!$AF$6:$AF$68,$I77)="","",INDEX('TEa input'!$AF$6:$AF$68,$I77))</f>
        <v/>
      </c>
      <c r="AA77" s="26" t="n">
        <f aca="false">IF(OR(J77="",$E77="",N($E77)&lt;=0),"",(J77-ABS(N($F77)))/$E77)</f>
        <v>5.77836611195159</v>
      </c>
      <c r="AB77" s="26" t="n">
        <f aca="false">IF(OR(K77="",$E77="",N($E77)&lt;=0),"",(K77-ABS(N($F77)))/$E77)</f>
        <v>14.8555219364599</v>
      </c>
      <c r="AC77" s="26" t="n">
        <f aca="false">IF(OR(L77="",$E77="",N($E77)&lt;=0),"",(L77-ABS(N($F77)))/$E77)</f>
        <v>7.29122541603631</v>
      </c>
      <c r="AD77" s="26" t="str">
        <f aca="false">IF(OR(M77="",$E77="",N($E77)&lt;=0),"",(M77-ABS(N($F77)))/$E77)</f>
        <v/>
      </c>
      <c r="AE77" s="26" t="str">
        <f aca="false">IF(OR(N77="",$E77="",N($E77)&lt;=0),"",(N77-ABS(N($F77)))/$E77)</f>
        <v/>
      </c>
      <c r="AF77" s="26" t="n">
        <f aca="false">IF(OR(O77="",$E77="",N($E77)&lt;=0),"",(O77-ABS(N($F77)))/$E77)</f>
        <v>14.8555219364599</v>
      </c>
      <c r="AG77" s="26" t="n">
        <f aca="false">IF(OR(P77="",$E77="",N($E77)&lt;=0),"",(P77-ABS(N($F77)))/$E77)</f>
        <v>13.3426626323752</v>
      </c>
      <c r="AH77" s="26" t="n">
        <f aca="false">IF(OR(Q77="",$E77="",N($E77)&lt;=0),"",(Q77-ABS(N($F77)))/$E77)</f>
        <v>6.76172465960666</v>
      </c>
      <c r="AI77" s="26" t="str">
        <f aca="false">IF(OR(R77="",$E77="",N($E77)&lt;=0),"",(R77-ABS(N($F77)))/$E77)</f>
        <v/>
      </c>
      <c r="AJ77" s="26" t="str">
        <f aca="false">IF(OR(S77="",$E77="",N($E77)&lt;=0),"",(S77-ABS(N($F77)))/$E77)</f>
        <v/>
      </c>
      <c r="AK77" s="26" t="str">
        <f aca="false">IF(OR(T77="",$E77="",N($E77)&lt;=0),"",(T77-ABS(N($F77)))/$E77)</f>
        <v/>
      </c>
      <c r="AL77" s="26" t="str">
        <f aca="false">IF(OR(U77="",$E77="",N($E77)&lt;=0),"",(U77-ABS(N($F77)))/$E77)</f>
        <v/>
      </c>
      <c r="AM77" s="26" t="str">
        <f aca="false">IF(OR(V77="",$E77="",N($E77)&lt;=0),"",(V77-ABS(N($F77)))/$E77)</f>
        <v/>
      </c>
      <c r="AN77" s="26" t="n">
        <f aca="false">IF(OR(W77="",$E77="",N($E77)&lt;=0),"",(W77-ABS(N($F77)))/$E77)</f>
        <v>5.77836611195159</v>
      </c>
      <c r="AO77" s="26" t="str">
        <f aca="false">IF(OR(X77="",$E77="",N($E77)&lt;=0),"",(X77-ABS(N($F77)))/$E77)</f>
        <v/>
      </c>
      <c r="AP77" s="26" t="str">
        <f aca="false">IF(OR(Y77="",$E77="",N($E77)&lt;=0),"",(Y77-ABS(N($F77)))/$E77)</f>
        <v/>
      </c>
    </row>
    <row r="78" customFormat="false" ht="15" hidden="false" customHeight="true" outlineLevel="0" collapsed="false">
      <c r="A78" s="9" t="s">
        <v>213</v>
      </c>
      <c r="B78" s="11" t="s">
        <v>326</v>
      </c>
      <c r="C78" s="11" t="s">
        <v>327</v>
      </c>
      <c r="D78" s="21" t="n">
        <v>0.712971</v>
      </c>
      <c r="E78" s="22" t="n">
        <v>4.664</v>
      </c>
      <c r="F78" s="22" t="n">
        <v>2.477</v>
      </c>
      <c r="G78" s="23" t="n">
        <v>942</v>
      </c>
      <c r="H78" s="11" t="s">
        <v>340</v>
      </c>
      <c r="I78" s="24" t="n">
        <f aca="false">MATCH(A78,'TEa input'!$A$6:$A$68,0)</f>
        <v>36</v>
      </c>
      <c r="J78" s="25" t="n">
        <f aca="false">IF(INDEX('TEa input'!$E$6:$E$68,$I78)="","",INDEX('TEa input'!$E$6:$E$68,$I78))</f>
        <v>15</v>
      </c>
      <c r="K78" s="25" t="n">
        <f aca="false">IF(INDEX('TEa input'!$G$6:$G$68,$I78)="","",INDEX('TEa input'!$G$6:$G$68,$I78))</f>
        <v>20</v>
      </c>
      <c r="L78" s="25" t="n">
        <f aca="false">IF(INDEX('TEa input'!$I$6:$I$68,$I78)="","",INDEX('TEa input'!$I$6:$I$68,$I78))</f>
        <v>13</v>
      </c>
      <c r="M78" s="25" t="str">
        <f aca="false">IF(INDEX('TEa input'!$K$6:$K$68,$I78)="","",INDEX('TEa input'!$K$6:$K$68,$I78))</f>
        <v/>
      </c>
      <c r="N78" s="25" t="str">
        <f aca="false">IF(INDEX('TEa input'!$M$6:$M$68,$I78)="","",INDEX('TEa input'!$M$6:$M$68,$I78))</f>
        <v/>
      </c>
      <c r="O78" s="25" t="n">
        <f aca="false">IF(INDEX('TEa input'!$O$6:$O$68,$I78)="","",INDEX('TEa input'!$O$6:$O$68,$I78))</f>
        <v>25</v>
      </c>
      <c r="P78" s="25" t="n">
        <f aca="false">IF(INDEX('TEa input'!$Q$6:$Q$68,$I78)="","",INDEX('TEa input'!$Q$6:$Q$68,$I78))</f>
        <v>21</v>
      </c>
      <c r="Q78" s="25" t="n">
        <f aca="false">IF(INDEX('TEa input'!$R$6:$R$68,$I78)="","",INDEX('TEa input'!$R$6:$R$68,$I78))</f>
        <v>12.2</v>
      </c>
      <c r="R78" s="25" t="str">
        <f aca="false">IF(INDEX('TEa input'!$T$6:$T$68,$I78)="","",INDEX('TEa input'!$T$6:$T$68,$I78))</f>
        <v/>
      </c>
      <c r="S78" s="25" t="str">
        <f aca="false">IF(INDEX('TEa input'!$Y$6:$Y$68,$I78)="","",INDEX('TEa input'!$Y$6:$Y$68,$I78))</f>
        <v/>
      </c>
      <c r="T78" s="25" t="str">
        <f aca="false">IF(INDEX('TEa input'!$Z$6:$Z$68,$I78)="","",INDEX('TEa input'!$Z$6:$Z$68,$I78))</f>
        <v/>
      </c>
      <c r="U78" s="25" t="str">
        <f aca="false">IF(INDEX('TEa input'!$AA$6:$AA$68,$I78)="","",INDEX('TEa input'!$AA$6:$AA$68,$I78))</f>
        <v/>
      </c>
      <c r="V78" s="25" t="str">
        <f aca="false">IF(INDEX('TEa input'!$AB$6:$AB$68,$I78)="","",INDEX('TEa input'!$AB$6:$AB$68,$I78))</f>
        <v/>
      </c>
      <c r="W78" s="25" t="n">
        <f aca="false">IF(INDEX('TEa input'!$AC$6:$AC$68,$I78)="","",INDEX('TEa input'!$AC$6:$AC$68,$I78))</f>
        <v>16.8</v>
      </c>
      <c r="X78" s="25" t="str">
        <f aca="false">IF(INDEX('TEa input'!$AD$6:$AD$68,$I78)="","",INDEX('TEa input'!$AD$6:$AD$68,$I78))</f>
        <v/>
      </c>
      <c r="Y78" s="25" t="str">
        <f aca="false">IF(INDEX('TEa input'!$AF$6:$AF$68,$I78)="","",INDEX('TEa input'!$AF$6:$AF$68,$I78))</f>
        <v/>
      </c>
      <c r="AA78" s="26" t="n">
        <f aca="false">IF(OR(J78="",$E78="",N($E78)&lt;=0),"",(J78-ABS(N($F78)))/$E78)</f>
        <v>2.68503430531732</v>
      </c>
      <c r="AB78" s="26" t="n">
        <f aca="false">IF(OR(K78="",$E78="",N($E78)&lt;=0),"",(K78-ABS(N($F78)))/$E78)</f>
        <v>3.75707547169811</v>
      </c>
      <c r="AC78" s="26" t="n">
        <f aca="false">IF(OR(L78="",$E78="",N($E78)&lt;=0),"",(L78-ABS(N($F78)))/$E78)</f>
        <v>2.25621783876501</v>
      </c>
      <c r="AD78" s="26" t="str">
        <f aca="false">IF(OR(M78="",$E78="",N($E78)&lt;=0),"",(M78-ABS(N($F78)))/$E78)</f>
        <v/>
      </c>
      <c r="AE78" s="26" t="str">
        <f aca="false">IF(OR(N78="",$E78="",N($E78)&lt;=0),"",(N78-ABS(N($F78)))/$E78)</f>
        <v/>
      </c>
      <c r="AF78" s="26" t="n">
        <f aca="false">IF(OR(O78="",$E78="",N($E78)&lt;=0),"",(O78-ABS(N($F78)))/$E78)</f>
        <v>4.8291166380789</v>
      </c>
      <c r="AG78" s="26" t="n">
        <f aca="false">IF(OR(P78="",$E78="",N($E78)&lt;=0),"",(P78-ABS(N($F78)))/$E78)</f>
        <v>3.97148370497427</v>
      </c>
      <c r="AH78" s="26" t="n">
        <f aca="false">IF(OR(Q78="",$E78="",N($E78)&lt;=0),"",(Q78-ABS(N($F78)))/$E78)</f>
        <v>2.08469125214408</v>
      </c>
      <c r="AI78" s="26" t="str">
        <f aca="false">IF(OR(R78="",$E78="",N($E78)&lt;=0),"",(R78-ABS(N($F78)))/$E78)</f>
        <v/>
      </c>
      <c r="AJ78" s="26" t="str">
        <f aca="false">IF(OR(S78="",$E78="",N($E78)&lt;=0),"",(S78-ABS(N($F78)))/$E78)</f>
        <v/>
      </c>
      <c r="AK78" s="26" t="str">
        <f aca="false">IF(OR(T78="",$E78="",N($E78)&lt;=0),"",(T78-ABS(N($F78)))/$E78)</f>
        <v/>
      </c>
      <c r="AL78" s="26" t="str">
        <f aca="false">IF(OR(U78="",$E78="",N($E78)&lt;=0),"",(U78-ABS(N($F78)))/$E78)</f>
        <v/>
      </c>
      <c r="AM78" s="26" t="str">
        <f aca="false">IF(OR(V78="",$E78="",N($E78)&lt;=0),"",(V78-ABS(N($F78)))/$E78)</f>
        <v/>
      </c>
      <c r="AN78" s="26" t="n">
        <f aca="false">IF(OR(W78="",$E78="",N($E78)&lt;=0),"",(W78-ABS(N($F78)))/$E78)</f>
        <v>3.07096912521441</v>
      </c>
      <c r="AO78" s="26" t="str">
        <f aca="false">IF(OR(X78="",$E78="",N($E78)&lt;=0),"",(X78-ABS(N($F78)))/$E78)</f>
        <v/>
      </c>
      <c r="AP78" s="26" t="str">
        <f aca="false">IF(OR(Y78="",$E78="",N($E78)&lt;=0),"",(Y78-ABS(N($F78)))/$E78)</f>
        <v/>
      </c>
    </row>
    <row r="79" customFormat="false" ht="15" hidden="false" customHeight="true" outlineLevel="0" collapsed="false">
      <c r="A79" s="9" t="s">
        <v>213</v>
      </c>
      <c r="B79" s="11" t="s">
        <v>329</v>
      </c>
      <c r="C79" s="11" t="s">
        <v>330</v>
      </c>
      <c r="D79" s="21" t="n">
        <v>1.16597</v>
      </c>
      <c r="E79" s="22" t="n">
        <v>3.583</v>
      </c>
      <c r="F79" s="22" t="n">
        <v>2.071</v>
      </c>
      <c r="G79" s="23" t="n">
        <v>944</v>
      </c>
      <c r="H79" s="11" t="s">
        <v>340</v>
      </c>
      <c r="I79" s="24" t="n">
        <f aca="false">MATCH(A79,'TEa input'!$A$6:$A$68,0)</f>
        <v>36</v>
      </c>
      <c r="J79" s="25" t="n">
        <f aca="false">IF(INDEX('TEa input'!$E$6:$E$68,$I79)="","",INDEX('TEa input'!$E$6:$E$68,$I79))</f>
        <v>15</v>
      </c>
      <c r="K79" s="25" t="n">
        <f aca="false">IF(INDEX('TEa input'!$G$6:$G$68,$I79)="","",INDEX('TEa input'!$G$6:$G$68,$I79))</f>
        <v>20</v>
      </c>
      <c r="L79" s="25" t="n">
        <f aca="false">IF(INDEX('TEa input'!$I$6:$I$68,$I79)="","",INDEX('TEa input'!$I$6:$I$68,$I79))</f>
        <v>13</v>
      </c>
      <c r="M79" s="25" t="str">
        <f aca="false">IF(INDEX('TEa input'!$K$6:$K$68,$I79)="","",INDEX('TEa input'!$K$6:$K$68,$I79))</f>
        <v/>
      </c>
      <c r="N79" s="25" t="str">
        <f aca="false">IF(INDEX('TEa input'!$M$6:$M$68,$I79)="","",INDEX('TEa input'!$M$6:$M$68,$I79))</f>
        <v/>
      </c>
      <c r="O79" s="25" t="n">
        <f aca="false">IF(INDEX('TEa input'!$O$6:$O$68,$I79)="","",INDEX('TEa input'!$O$6:$O$68,$I79))</f>
        <v>25</v>
      </c>
      <c r="P79" s="25" t="n">
        <f aca="false">IF(INDEX('TEa input'!$Q$6:$Q$68,$I79)="","",INDEX('TEa input'!$Q$6:$Q$68,$I79))</f>
        <v>21</v>
      </c>
      <c r="Q79" s="25" t="n">
        <f aca="false">IF(INDEX('TEa input'!$R$6:$R$68,$I79)="","",INDEX('TEa input'!$R$6:$R$68,$I79))</f>
        <v>12.2</v>
      </c>
      <c r="R79" s="25" t="str">
        <f aca="false">IF(INDEX('TEa input'!$T$6:$T$68,$I79)="","",INDEX('TEa input'!$T$6:$T$68,$I79))</f>
        <v/>
      </c>
      <c r="S79" s="25" t="str">
        <f aca="false">IF(INDEX('TEa input'!$Y$6:$Y$68,$I79)="","",INDEX('TEa input'!$Y$6:$Y$68,$I79))</f>
        <v/>
      </c>
      <c r="T79" s="25" t="str">
        <f aca="false">IF(INDEX('TEa input'!$Z$6:$Z$68,$I79)="","",INDEX('TEa input'!$Z$6:$Z$68,$I79))</f>
        <v/>
      </c>
      <c r="U79" s="25" t="str">
        <f aca="false">IF(INDEX('TEa input'!$AA$6:$AA$68,$I79)="","",INDEX('TEa input'!$AA$6:$AA$68,$I79))</f>
        <v/>
      </c>
      <c r="V79" s="25" t="str">
        <f aca="false">IF(INDEX('TEa input'!$AB$6:$AB$68,$I79)="","",INDEX('TEa input'!$AB$6:$AB$68,$I79))</f>
        <v/>
      </c>
      <c r="W79" s="25" t="n">
        <f aca="false">IF(INDEX('TEa input'!$AC$6:$AC$68,$I79)="","",INDEX('TEa input'!$AC$6:$AC$68,$I79))</f>
        <v>16.8</v>
      </c>
      <c r="X79" s="25" t="str">
        <f aca="false">IF(INDEX('TEa input'!$AD$6:$AD$68,$I79)="","",INDEX('TEa input'!$AD$6:$AD$68,$I79))</f>
        <v/>
      </c>
      <c r="Y79" s="25" t="str">
        <f aca="false">IF(INDEX('TEa input'!$AF$6:$AF$68,$I79)="","",INDEX('TEa input'!$AF$6:$AF$68,$I79))</f>
        <v/>
      </c>
      <c r="AA79" s="26" t="n">
        <f aca="false">IF(OR(J79="",$E79="",N($E79)&lt;=0),"",(J79-ABS(N($F79)))/$E79)</f>
        <v>3.60842869104103</v>
      </c>
      <c r="AB79" s="26" t="n">
        <f aca="false">IF(OR(K79="",$E79="",N($E79)&lt;=0),"",(K79-ABS(N($F79)))/$E79)</f>
        <v>5.00390734021769</v>
      </c>
      <c r="AC79" s="26" t="n">
        <f aca="false">IF(OR(L79="",$E79="",N($E79)&lt;=0),"",(L79-ABS(N($F79)))/$E79)</f>
        <v>3.05023723137036</v>
      </c>
      <c r="AD79" s="26" t="str">
        <f aca="false">IF(OR(M79="",$E79="",N($E79)&lt;=0),"",(M79-ABS(N($F79)))/$E79)</f>
        <v/>
      </c>
      <c r="AE79" s="26" t="str">
        <f aca="false">IF(OR(N79="",$E79="",N($E79)&lt;=0),"",(N79-ABS(N($F79)))/$E79)</f>
        <v/>
      </c>
      <c r="AF79" s="26" t="n">
        <f aca="false">IF(OR(O79="",$E79="",N($E79)&lt;=0),"",(O79-ABS(N($F79)))/$E79)</f>
        <v>6.39938598939436</v>
      </c>
      <c r="AG79" s="26" t="n">
        <f aca="false">IF(OR(P79="",$E79="",N($E79)&lt;=0),"",(P79-ABS(N($F79)))/$E79)</f>
        <v>5.28300307005303</v>
      </c>
      <c r="AH79" s="26" t="n">
        <f aca="false">IF(OR(Q79="",$E79="",N($E79)&lt;=0),"",(Q79-ABS(N($F79)))/$E79)</f>
        <v>2.82696064750209</v>
      </c>
      <c r="AI79" s="26" t="str">
        <f aca="false">IF(OR(R79="",$E79="",N($E79)&lt;=0),"",(R79-ABS(N($F79)))/$E79)</f>
        <v/>
      </c>
      <c r="AJ79" s="26" t="str">
        <f aca="false">IF(OR(S79="",$E79="",N($E79)&lt;=0),"",(S79-ABS(N($F79)))/$E79)</f>
        <v/>
      </c>
      <c r="AK79" s="26" t="str">
        <f aca="false">IF(OR(T79="",$E79="",N($E79)&lt;=0),"",(T79-ABS(N($F79)))/$E79)</f>
        <v/>
      </c>
      <c r="AL79" s="26" t="str">
        <f aca="false">IF(OR(U79="",$E79="",N($E79)&lt;=0),"",(U79-ABS(N($F79)))/$E79)</f>
        <v/>
      </c>
      <c r="AM79" s="26" t="str">
        <f aca="false">IF(OR(V79="",$E79="",N($E79)&lt;=0),"",(V79-ABS(N($F79)))/$E79)</f>
        <v/>
      </c>
      <c r="AN79" s="26" t="n">
        <f aca="false">IF(OR(W79="",$E79="",N($E79)&lt;=0),"",(W79-ABS(N($F79)))/$E79)</f>
        <v>4.11080100474463</v>
      </c>
      <c r="AO79" s="26" t="str">
        <f aca="false">IF(OR(X79="",$E79="",N($E79)&lt;=0),"",(X79-ABS(N($F79)))/$E79)</f>
        <v/>
      </c>
      <c r="AP79" s="26" t="str">
        <f aca="false">IF(OR(Y79="",$E79="",N($E79)&lt;=0),"",(Y79-ABS(N($F79)))/$E79)</f>
        <v/>
      </c>
    </row>
    <row r="80" customFormat="false" ht="15" hidden="false" customHeight="true" outlineLevel="0" collapsed="false">
      <c r="A80" s="9" t="s">
        <v>215</v>
      </c>
      <c r="B80" s="11" t="s">
        <v>326</v>
      </c>
      <c r="C80" s="11" t="s">
        <v>344</v>
      </c>
      <c r="D80" s="21" t="n">
        <v>20.005</v>
      </c>
      <c r="E80" s="22" t="n">
        <v>3.369</v>
      </c>
      <c r="F80" s="22" t="n">
        <v>0.511</v>
      </c>
      <c r="G80" s="23" t="n">
        <v>802</v>
      </c>
      <c r="H80" s="11" t="s">
        <v>333</v>
      </c>
      <c r="I80" s="24" t="n">
        <f aca="false">MATCH(A80,'TEa input'!$A$6:$A$68,0)</f>
        <v>37</v>
      </c>
      <c r="J80" s="25" t="str">
        <f aca="false">IF(INDEX('TEa input'!$E$6:$E$68,$I80)="","",INDEX('TEa input'!$E$6:$E$68,$I80))</f>
        <v/>
      </c>
      <c r="K80" s="25" t="str">
        <f aca="false">IF(INDEX('TEa input'!$G$6:$G$68,$I80)="","",INDEX('TEa input'!$G$6:$G$68,$I80))</f>
        <v/>
      </c>
      <c r="L80" s="25" t="str">
        <f aca="false">IF(INDEX('TEa input'!$I$6:$I$68,$I80)="","",INDEX('TEa input'!$I$6:$I$68,$I80))</f>
        <v/>
      </c>
      <c r="M80" s="25" t="str">
        <f aca="false">IF(INDEX('TEa input'!$K$6:$K$68,$I80)="","",INDEX('TEa input'!$K$6:$K$68,$I80))</f>
        <v/>
      </c>
      <c r="N80" s="25" t="str">
        <f aca="false">IF(INDEX('TEa input'!$M$6:$M$68,$I80)="","",INDEX('TEa input'!$M$6:$M$68,$I80))</f>
        <v/>
      </c>
      <c r="O80" s="25" t="str">
        <f aca="false">IF(INDEX('TEa input'!$O$6:$O$68,$I80)="","",INDEX('TEa input'!$O$6:$O$68,$I80))</f>
        <v/>
      </c>
      <c r="P80" s="25" t="str">
        <f aca="false">IF(INDEX('TEa input'!$Q$6:$Q$68,$I80)="","",INDEX('TEa input'!$Q$6:$Q$68,$I80))</f>
        <v/>
      </c>
      <c r="Q80" s="25" t="str">
        <f aca="false">IF(INDEX('TEa input'!$R$6:$R$68,$I80)="","",INDEX('TEa input'!$R$6:$R$68,$I80))</f>
        <v/>
      </c>
      <c r="R80" s="25" t="str">
        <f aca="false">IF(INDEX('TEa input'!$T$6:$T$68,$I80)="","",INDEX('TEa input'!$T$6:$T$68,$I80))</f>
        <v/>
      </c>
      <c r="S80" s="25" t="str">
        <f aca="false">IF(INDEX('TEa input'!$Y$6:$Y$68,$I80)="","",INDEX('TEa input'!$Y$6:$Y$68,$I80))</f>
        <v/>
      </c>
      <c r="T80" s="25" t="str">
        <f aca="false">IF(INDEX('TEa input'!$Z$6:$Z$68,$I80)="","",INDEX('TEa input'!$Z$6:$Z$68,$I80))</f>
        <v/>
      </c>
      <c r="U80" s="25" t="str">
        <f aca="false">IF(INDEX('TEa input'!$AA$6:$AA$68,$I80)="","",INDEX('TEa input'!$AA$6:$AA$68,$I80))</f>
        <v/>
      </c>
      <c r="V80" s="25" t="str">
        <f aca="false">IF(INDEX('TEa input'!$AB$6:$AB$68,$I80)="","",INDEX('TEa input'!$AB$6:$AB$68,$I80))</f>
        <v/>
      </c>
      <c r="W80" s="25" t="str">
        <f aca="false">IF(INDEX('TEa input'!$AC$6:$AC$68,$I80)="","",INDEX('TEa input'!$AC$6:$AC$68,$I80))</f>
        <v/>
      </c>
      <c r="X80" s="25" t="str">
        <f aca="false">IF(INDEX('TEa input'!$AD$6:$AD$68,$I80)="","",INDEX('TEa input'!$AD$6:$AD$68,$I80))</f>
        <v/>
      </c>
      <c r="Y80" s="25" t="str">
        <f aca="false">IF(INDEX('TEa input'!$AF$6:$AF$68,$I80)="","",INDEX('TEa input'!$AF$6:$AF$68,$I80))</f>
        <v/>
      </c>
      <c r="AA80" s="26" t="str">
        <f aca="false">IF(OR(J80="",$E80="",N($E80)&lt;=0),"",(J80-ABS(N($F80)))/$E80)</f>
        <v/>
      </c>
      <c r="AB80" s="26" t="str">
        <f aca="false">IF(OR(K80="",$E80="",N($E80)&lt;=0),"",(K80-ABS(N($F80)))/$E80)</f>
        <v/>
      </c>
      <c r="AC80" s="26" t="str">
        <f aca="false">IF(OR(L80="",$E80="",N($E80)&lt;=0),"",(L80-ABS(N($F80)))/$E80)</f>
        <v/>
      </c>
      <c r="AD80" s="26" t="str">
        <f aca="false">IF(OR(M80="",$E80="",N($E80)&lt;=0),"",(M80-ABS(N($F80)))/$E80)</f>
        <v/>
      </c>
      <c r="AE80" s="26" t="str">
        <f aca="false">IF(OR(N80="",$E80="",N($E80)&lt;=0),"",(N80-ABS(N($F80)))/$E80)</f>
        <v/>
      </c>
      <c r="AF80" s="26" t="str">
        <f aca="false">IF(OR(O80="",$E80="",N($E80)&lt;=0),"",(O80-ABS(N($F80)))/$E80)</f>
        <v/>
      </c>
      <c r="AG80" s="26" t="str">
        <f aca="false">IF(OR(P80="",$E80="",N($E80)&lt;=0),"",(P80-ABS(N($F80)))/$E80)</f>
        <v/>
      </c>
      <c r="AH80" s="26" t="str">
        <f aca="false">IF(OR(Q80="",$E80="",N($E80)&lt;=0),"",(Q80-ABS(N($F80)))/$E80)</f>
        <v/>
      </c>
      <c r="AI80" s="26" t="str">
        <f aca="false">IF(OR(R80="",$E80="",N($E80)&lt;=0),"",(R80-ABS(N($F80)))/$E80)</f>
        <v/>
      </c>
      <c r="AJ80" s="26" t="str">
        <f aca="false">IF(OR(S80="",$E80="",N($E80)&lt;=0),"",(S80-ABS(N($F80)))/$E80)</f>
        <v/>
      </c>
      <c r="AK80" s="26" t="str">
        <f aca="false">IF(OR(T80="",$E80="",N($E80)&lt;=0),"",(T80-ABS(N($F80)))/$E80)</f>
        <v/>
      </c>
      <c r="AL80" s="26" t="str">
        <f aca="false">IF(OR(U80="",$E80="",N($E80)&lt;=0),"",(U80-ABS(N($F80)))/$E80)</f>
        <v/>
      </c>
      <c r="AM80" s="26" t="str">
        <f aca="false">IF(OR(V80="",$E80="",N($E80)&lt;=0),"",(V80-ABS(N($F80)))/$E80)</f>
        <v/>
      </c>
      <c r="AN80" s="26" t="str">
        <f aca="false">IF(OR(W80="",$E80="",N($E80)&lt;=0),"",(W80-ABS(N($F80)))/$E80)</f>
        <v/>
      </c>
      <c r="AO80" s="26" t="str">
        <f aca="false">IF(OR(X80="",$E80="",N($E80)&lt;=0),"",(X80-ABS(N($F80)))/$E80)</f>
        <v/>
      </c>
      <c r="AP80" s="26" t="str">
        <f aca="false">IF(OR(Y80="",$E80="",N($E80)&lt;=0),"",(Y80-ABS(N($F80)))/$E80)</f>
        <v/>
      </c>
    </row>
    <row r="81" customFormat="false" ht="15" hidden="false" customHeight="true" outlineLevel="0" collapsed="false">
      <c r="A81" s="9" t="s">
        <v>215</v>
      </c>
      <c r="B81" s="11" t="s">
        <v>329</v>
      </c>
      <c r="C81" s="11" t="s">
        <v>345</v>
      </c>
      <c r="D81" s="21" t="n">
        <v>50.4552</v>
      </c>
      <c r="E81" s="22" t="n">
        <v>2.596</v>
      </c>
      <c r="F81" s="22" t="n">
        <v>0.544</v>
      </c>
      <c r="G81" s="23" t="n">
        <v>817</v>
      </c>
      <c r="H81" s="11" t="s">
        <v>333</v>
      </c>
      <c r="I81" s="24" t="n">
        <f aca="false">MATCH(A81,'TEa input'!$A$6:$A$68,0)</f>
        <v>37</v>
      </c>
      <c r="J81" s="25" t="str">
        <f aca="false">IF(INDEX('TEa input'!$E$6:$E$68,$I81)="","",INDEX('TEa input'!$E$6:$E$68,$I81))</f>
        <v/>
      </c>
      <c r="K81" s="25" t="str">
        <f aca="false">IF(INDEX('TEa input'!$G$6:$G$68,$I81)="","",INDEX('TEa input'!$G$6:$G$68,$I81))</f>
        <v/>
      </c>
      <c r="L81" s="25" t="str">
        <f aca="false">IF(INDEX('TEa input'!$I$6:$I$68,$I81)="","",INDEX('TEa input'!$I$6:$I$68,$I81))</f>
        <v/>
      </c>
      <c r="M81" s="25" t="str">
        <f aca="false">IF(INDEX('TEa input'!$K$6:$K$68,$I81)="","",INDEX('TEa input'!$K$6:$K$68,$I81))</f>
        <v/>
      </c>
      <c r="N81" s="25" t="str">
        <f aca="false">IF(INDEX('TEa input'!$M$6:$M$68,$I81)="","",INDEX('TEa input'!$M$6:$M$68,$I81))</f>
        <v/>
      </c>
      <c r="O81" s="25" t="str">
        <f aca="false">IF(INDEX('TEa input'!$O$6:$O$68,$I81)="","",INDEX('TEa input'!$O$6:$O$68,$I81))</f>
        <v/>
      </c>
      <c r="P81" s="25" t="str">
        <f aca="false">IF(INDEX('TEa input'!$Q$6:$Q$68,$I81)="","",INDEX('TEa input'!$Q$6:$Q$68,$I81))</f>
        <v/>
      </c>
      <c r="Q81" s="25" t="str">
        <f aca="false">IF(INDEX('TEa input'!$R$6:$R$68,$I81)="","",INDEX('TEa input'!$R$6:$R$68,$I81))</f>
        <v/>
      </c>
      <c r="R81" s="25" t="str">
        <f aca="false">IF(INDEX('TEa input'!$T$6:$T$68,$I81)="","",INDEX('TEa input'!$T$6:$T$68,$I81))</f>
        <v/>
      </c>
      <c r="S81" s="25" t="str">
        <f aca="false">IF(INDEX('TEa input'!$Y$6:$Y$68,$I81)="","",INDEX('TEa input'!$Y$6:$Y$68,$I81))</f>
        <v/>
      </c>
      <c r="T81" s="25" t="str">
        <f aca="false">IF(INDEX('TEa input'!$Z$6:$Z$68,$I81)="","",INDEX('TEa input'!$Z$6:$Z$68,$I81))</f>
        <v/>
      </c>
      <c r="U81" s="25" t="str">
        <f aca="false">IF(INDEX('TEa input'!$AA$6:$AA$68,$I81)="","",INDEX('TEa input'!$AA$6:$AA$68,$I81))</f>
        <v/>
      </c>
      <c r="V81" s="25" t="str">
        <f aca="false">IF(INDEX('TEa input'!$AB$6:$AB$68,$I81)="","",INDEX('TEa input'!$AB$6:$AB$68,$I81))</f>
        <v/>
      </c>
      <c r="W81" s="25" t="str">
        <f aca="false">IF(INDEX('TEa input'!$AC$6:$AC$68,$I81)="","",INDEX('TEa input'!$AC$6:$AC$68,$I81))</f>
        <v/>
      </c>
      <c r="X81" s="25" t="str">
        <f aca="false">IF(INDEX('TEa input'!$AD$6:$AD$68,$I81)="","",INDEX('TEa input'!$AD$6:$AD$68,$I81))</f>
        <v/>
      </c>
      <c r="Y81" s="25" t="str">
        <f aca="false">IF(INDEX('TEa input'!$AF$6:$AF$68,$I81)="","",INDEX('TEa input'!$AF$6:$AF$68,$I81))</f>
        <v/>
      </c>
      <c r="AA81" s="26" t="str">
        <f aca="false">IF(OR(J81="",$E81="",N($E81)&lt;=0),"",(J81-ABS(N($F81)))/$E81)</f>
        <v/>
      </c>
      <c r="AB81" s="26" t="str">
        <f aca="false">IF(OR(K81="",$E81="",N($E81)&lt;=0),"",(K81-ABS(N($F81)))/$E81)</f>
        <v/>
      </c>
      <c r="AC81" s="26" t="str">
        <f aca="false">IF(OR(L81="",$E81="",N($E81)&lt;=0),"",(L81-ABS(N($F81)))/$E81)</f>
        <v/>
      </c>
      <c r="AD81" s="26" t="str">
        <f aca="false">IF(OR(M81="",$E81="",N($E81)&lt;=0),"",(M81-ABS(N($F81)))/$E81)</f>
        <v/>
      </c>
      <c r="AE81" s="26" t="str">
        <f aca="false">IF(OR(N81="",$E81="",N($E81)&lt;=0),"",(N81-ABS(N($F81)))/$E81)</f>
        <v/>
      </c>
      <c r="AF81" s="26" t="str">
        <f aca="false">IF(OR(O81="",$E81="",N($E81)&lt;=0),"",(O81-ABS(N($F81)))/$E81)</f>
        <v/>
      </c>
      <c r="AG81" s="26" t="str">
        <f aca="false">IF(OR(P81="",$E81="",N($E81)&lt;=0),"",(P81-ABS(N($F81)))/$E81)</f>
        <v/>
      </c>
      <c r="AH81" s="26" t="str">
        <f aca="false">IF(OR(Q81="",$E81="",N($E81)&lt;=0),"",(Q81-ABS(N($F81)))/$E81)</f>
        <v/>
      </c>
      <c r="AI81" s="26" t="str">
        <f aca="false">IF(OR(R81="",$E81="",N($E81)&lt;=0),"",(R81-ABS(N($F81)))/$E81)</f>
        <v/>
      </c>
      <c r="AJ81" s="26" t="str">
        <f aca="false">IF(OR(S81="",$E81="",N($E81)&lt;=0),"",(S81-ABS(N($F81)))/$E81)</f>
        <v/>
      </c>
      <c r="AK81" s="26" t="str">
        <f aca="false">IF(OR(T81="",$E81="",N($E81)&lt;=0),"",(T81-ABS(N($F81)))/$E81)</f>
        <v/>
      </c>
      <c r="AL81" s="26" t="str">
        <f aca="false">IF(OR(U81="",$E81="",N($E81)&lt;=0),"",(U81-ABS(N($F81)))/$E81)</f>
        <v/>
      </c>
      <c r="AM81" s="26" t="str">
        <f aca="false">IF(OR(V81="",$E81="",N($E81)&lt;=0),"",(V81-ABS(N($F81)))/$E81)</f>
        <v/>
      </c>
      <c r="AN81" s="26" t="str">
        <f aca="false">IF(OR(W81="",$E81="",N($E81)&lt;=0),"",(W81-ABS(N($F81)))/$E81)</f>
        <v/>
      </c>
      <c r="AO81" s="26" t="str">
        <f aca="false">IF(OR(X81="",$E81="",N($E81)&lt;=0),"",(X81-ABS(N($F81)))/$E81)</f>
        <v/>
      </c>
      <c r="AP81" s="26" t="str">
        <f aca="false">IF(OR(Y81="",$E81="",N($E81)&lt;=0),"",(Y81-ABS(N($F81)))/$E81)</f>
        <v/>
      </c>
    </row>
    <row r="82" customFormat="false" ht="15" hidden="false" customHeight="true" outlineLevel="0" collapsed="false">
      <c r="A82" s="9" t="s">
        <v>217</v>
      </c>
      <c r="B82" s="11" t="s">
        <v>326</v>
      </c>
      <c r="C82" s="11" t="s">
        <v>346</v>
      </c>
      <c r="D82" s="21" t="n">
        <v>18.7928</v>
      </c>
      <c r="E82" s="22" t="n">
        <v>2.752</v>
      </c>
      <c r="F82" s="22" t="n">
        <v>0.189</v>
      </c>
      <c r="G82" s="23" t="n">
        <v>931</v>
      </c>
      <c r="H82" s="11" t="s">
        <v>333</v>
      </c>
      <c r="I82" s="24" t="n">
        <f aca="false">MATCH(A82,'TEa input'!$A$6:$A$68,0)</f>
        <v>38</v>
      </c>
      <c r="J82" s="25" t="str">
        <f aca="false">IF(INDEX('TEa input'!$E$6:$E$68,$I82)="","",INDEX('TEa input'!$E$6:$E$68,$I82))</f>
        <v/>
      </c>
      <c r="K82" s="25" t="n">
        <f aca="false">IF(INDEX('TEa input'!$G$6:$G$68,$I82)="","",INDEX('TEa input'!$G$6:$G$68,$I82))</f>
        <v>20</v>
      </c>
      <c r="L82" s="25" t="str">
        <f aca="false">IF(INDEX('TEa input'!$I$6:$I$68,$I82)="","",INDEX('TEa input'!$I$6:$I$68,$I82))</f>
        <v/>
      </c>
      <c r="M82" s="25" t="str">
        <f aca="false">IF(INDEX('TEa input'!$K$6:$K$68,$I82)="","",INDEX('TEa input'!$K$6:$K$68,$I82))</f>
        <v/>
      </c>
      <c r="N82" s="25" t="n">
        <f aca="false">IF(INDEX('TEa input'!$M$6:$M$68,$I82)="","",INDEX('TEa input'!$M$6:$M$68,$I82))</f>
        <v>10</v>
      </c>
      <c r="O82" s="25" t="str">
        <f aca="false">IF(INDEX('TEa input'!$O$6:$O$68,$I82)="","",INDEX('TEa input'!$O$6:$O$68,$I82))</f>
        <v/>
      </c>
      <c r="P82" s="25" t="str">
        <f aca="false">IF(INDEX('TEa input'!$Q$6:$Q$68,$I82)="","",INDEX('TEa input'!$Q$6:$Q$68,$I82))</f>
        <v/>
      </c>
      <c r="Q82" s="25" t="str">
        <f aca="false">IF(INDEX('TEa input'!$R$6:$R$68,$I82)="","",INDEX('TEa input'!$R$6:$R$68,$I82))</f>
        <v/>
      </c>
      <c r="R82" s="25" t="str">
        <f aca="false">IF(INDEX('TEa input'!$T$6:$T$68,$I82)="","",INDEX('TEa input'!$T$6:$T$68,$I82))</f>
        <v/>
      </c>
      <c r="S82" s="25" t="str">
        <f aca="false">IF(INDEX('TEa input'!$Y$6:$Y$68,$I82)="","",INDEX('TEa input'!$Y$6:$Y$68,$I82))</f>
        <v/>
      </c>
      <c r="T82" s="25" t="str">
        <f aca="false">IF(INDEX('TEa input'!$Z$6:$Z$68,$I82)="","",INDEX('TEa input'!$Z$6:$Z$68,$I82))</f>
        <v/>
      </c>
      <c r="U82" s="25" t="str">
        <f aca="false">IF(INDEX('TEa input'!$AA$6:$AA$68,$I82)="","",INDEX('TEa input'!$AA$6:$AA$68,$I82))</f>
        <v/>
      </c>
      <c r="V82" s="25" t="str">
        <f aca="false">IF(INDEX('TEa input'!$AB$6:$AB$68,$I82)="","",INDEX('TEa input'!$AB$6:$AB$68,$I82))</f>
        <v/>
      </c>
      <c r="W82" s="25" t="str">
        <f aca="false">IF(INDEX('TEa input'!$AC$6:$AC$68,$I82)="","",INDEX('TEa input'!$AC$6:$AC$68,$I82))</f>
        <v/>
      </c>
      <c r="X82" s="25" t="str">
        <f aca="false">IF(INDEX('TEa input'!$AD$6:$AD$68,$I82)="","",INDEX('TEa input'!$AD$6:$AD$68,$I82))</f>
        <v/>
      </c>
      <c r="Y82" s="25" t="str">
        <f aca="false">IF(INDEX('TEa input'!$AF$6:$AF$68,$I82)="","",INDEX('TEa input'!$AF$6:$AF$68,$I82))</f>
        <v/>
      </c>
      <c r="AA82" s="26" t="str">
        <f aca="false">IF(OR(J82="",$E82="",N($E82)&lt;=0),"",(J82-ABS(N($F82)))/$E82)</f>
        <v/>
      </c>
      <c r="AB82" s="26" t="n">
        <f aca="false">IF(OR(K82="",$E82="",N($E82)&lt;=0),"",(K82-ABS(N($F82)))/$E82)</f>
        <v>7.19876453488372</v>
      </c>
      <c r="AC82" s="26" t="str">
        <f aca="false">IF(OR(L82="",$E82="",N($E82)&lt;=0),"",(L82-ABS(N($F82)))/$E82)</f>
        <v/>
      </c>
      <c r="AD82" s="26" t="str">
        <f aca="false">IF(OR(M82="",$E82="",N($E82)&lt;=0),"",(M82-ABS(N($F82)))/$E82)</f>
        <v/>
      </c>
      <c r="AE82" s="26" t="n">
        <f aca="false">IF(OR(N82="",$E82="",N($E82)&lt;=0),"",(N82-ABS(N($F82)))/$E82)</f>
        <v>3.56504360465116</v>
      </c>
      <c r="AF82" s="26" t="str">
        <f aca="false">IF(OR(O82="",$E82="",N($E82)&lt;=0),"",(O82-ABS(N($F82)))/$E82)</f>
        <v/>
      </c>
      <c r="AG82" s="26" t="str">
        <f aca="false">IF(OR(P82="",$E82="",N($E82)&lt;=0),"",(P82-ABS(N($F82)))/$E82)</f>
        <v/>
      </c>
      <c r="AH82" s="26" t="str">
        <f aca="false">IF(OR(Q82="",$E82="",N($E82)&lt;=0),"",(Q82-ABS(N($F82)))/$E82)</f>
        <v/>
      </c>
      <c r="AI82" s="26" t="str">
        <f aca="false">IF(OR(R82="",$E82="",N($E82)&lt;=0),"",(R82-ABS(N($F82)))/$E82)</f>
        <v/>
      </c>
      <c r="AJ82" s="26" t="str">
        <f aca="false">IF(OR(S82="",$E82="",N($E82)&lt;=0),"",(S82-ABS(N($F82)))/$E82)</f>
        <v/>
      </c>
      <c r="AK82" s="26" t="str">
        <f aca="false">IF(OR(T82="",$E82="",N($E82)&lt;=0),"",(T82-ABS(N($F82)))/$E82)</f>
        <v/>
      </c>
      <c r="AL82" s="26" t="str">
        <f aca="false">IF(OR(U82="",$E82="",N($E82)&lt;=0),"",(U82-ABS(N($F82)))/$E82)</f>
        <v/>
      </c>
      <c r="AM82" s="26" t="str">
        <f aca="false">IF(OR(V82="",$E82="",N($E82)&lt;=0),"",(V82-ABS(N($F82)))/$E82)</f>
        <v/>
      </c>
      <c r="AN82" s="26" t="str">
        <f aca="false">IF(OR(W82="",$E82="",N($E82)&lt;=0),"",(W82-ABS(N($F82)))/$E82)</f>
        <v/>
      </c>
      <c r="AO82" s="26" t="str">
        <f aca="false">IF(OR(X82="",$E82="",N($E82)&lt;=0),"",(X82-ABS(N($F82)))/$E82)</f>
        <v/>
      </c>
      <c r="AP82" s="26" t="str">
        <f aca="false">IF(OR(Y82="",$E82="",N($E82)&lt;=0),"",(Y82-ABS(N($F82)))/$E82)</f>
        <v/>
      </c>
    </row>
    <row r="83" customFormat="false" ht="15" hidden="false" customHeight="true" outlineLevel="0" collapsed="false">
      <c r="A83" s="9" t="s">
        <v>217</v>
      </c>
      <c r="B83" s="11" t="s">
        <v>329</v>
      </c>
      <c r="C83" s="11" t="s">
        <v>347</v>
      </c>
      <c r="D83" s="21" t="n">
        <v>31.9152</v>
      </c>
      <c r="E83" s="22" t="n">
        <v>2.992</v>
      </c>
      <c r="F83" s="22" t="n">
        <v>0.512</v>
      </c>
      <c r="G83" s="23" t="n">
        <v>931</v>
      </c>
      <c r="H83" s="11" t="s">
        <v>331</v>
      </c>
      <c r="I83" s="24" t="n">
        <f aca="false">MATCH(A83,'TEa input'!$A$6:$A$68,0)</f>
        <v>38</v>
      </c>
      <c r="J83" s="25" t="str">
        <f aca="false">IF(INDEX('TEa input'!$E$6:$E$68,$I83)="","",INDEX('TEa input'!$E$6:$E$68,$I83))</f>
        <v/>
      </c>
      <c r="K83" s="25" t="n">
        <f aca="false">IF(INDEX('TEa input'!$G$6:$G$68,$I83)="","",INDEX('TEa input'!$G$6:$G$68,$I83))</f>
        <v>20</v>
      </c>
      <c r="L83" s="25" t="str">
        <f aca="false">IF(INDEX('TEa input'!$I$6:$I$68,$I83)="","",INDEX('TEa input'!$I$6:$I$68,$I83))</f>
        <v/>
      </c>
      <c r="M83" s="25" t="str">
        <f aca="false">IF(INDEX('TEa input'!$K$6:$K$68,$I83)="","",INDEX('TEa input'!$K$6:$K$68,$I83))</f>
        <v/>
      </c>
      <c r="N83" s="25" t="n">
        <f aca="false">IF(INDEX('TEa input'!$M$6:$M$68,$I83)="","",INDEX('TEa input'!$M$6:$M$68,$I83))</f>
        <v>10</v>
      </c>
      <c r="O83" s="25" t="str">
        <f aca="false">IF(INDEX('TEa input'!$O$6:$O$68,$I83)="","",INDEX('TEa input'!$O$6:$O$68,$I83))</f>
        <v/>
      </c>
      <c r="P83" s="25" t="str">
        <f aca="false">IF(INDEX('TEa input'!$Q$6:$Q$68,$I83)="","",INDEX('TEa input'!$Q$6:$Q$68,$I83))</f>
        <v/>
      </c>
      <c r="Q83" s="25" t="str">
        <f aca="false">IF(INDEX('TEa input'!$R$6:$R$68,$I83)="","",INDEX('TEa input'!$R$6:$R$68,$I83))</f>
        <v/>
      </c>
      <c r="R83" s="25" t="str">
        <f aca="false">IF(INDEX('TEa input'!$T$6:$T$68,$I83)="","",INDEX('TEa input'!$T$6:$T$68,$I83))</f>
        <v/>
      </c>
      <c r="S83" s="25" t="str">
        <f aca="false">IF(INDEX('TEa input'!$Y$6:$Y$68,$I83)="","",INDEX('TEa input'!$Y$6:$Y$68,$I83))</f>
        <v/>
      </c>
      <c r="T83" s="25" t="str">
        <f aca="false">IF(INDEX('TEa input'!$Z$6:$Z$68,$I83)="","",INDEX('TEa input'!$Z$6:$Z$68,$I83))</f>
        <v/>
      </c>
      <c r="U83" s="25" t="str">
        <f aca="false">IF(INDEX('TEa input'!$AA$6:$AA$68,$I83)="","",INDEX('TEa input'!$AA$6:$AA$68,$I83))</f>
        <v/>
      </c>
      <c r="V83" s="25" t="str">
        <f aca="false">IF(INDEX('TEa input'!$AB$6:$AB$68,$I83)="","",INDEX('TEa input'!$AB$6:$AB$68,$I83))</f>
        <v/>
      </c>
      <c r="W83" s="25" t="str">
        <f aca="false">IF(INDEX('TEa input'!$AC$6:$AC$68,$I83)="","",INDEX('TEa input'!$AC$6:$AC$68,$I83))</f>
        <v/>
      </c>
      <c r="X83" s="25" t="str">
        <f aca="false">IF(INDEX('TEa input'!$AD$6:$AD$68,$I83)="","",INDEX('TEa input'!$AD$6:$AD$68,$I83))</f>
        <v/>
      </c>
      <c r="Y83" s="25" t="str">
        <f aca="false">IF(INDEX('TEa input'!$AF$6:$AF$68,$I83)="","",INDEX('TEa input'!$AF$6:$AF$68,$I83))</f>
        <v/>
      </c>
      <c r="AA83" s="26" t="str">
        <f aca="false">IF(OR(J83="",$E83="",N($E83)&lt;=0),"",(J83-ABS(N($F83)))/$E83)</f>
        <v/>
      </c>
      <c r="AB83" s="26" t="n">
        <f aca="false">IF(OR(K83="",$E83="",N($E83)&lt;=0),"",(K83-ABS(N($F83)))/$E83)</f>
        <v>6.51336898395722</v>
      </c>
      <c r="AC83" s="26" t="str">
        <f aca="false">IF(OR(L83="",$E83="",N($E83)&lt;=0),"",(L83-ABS(N($F83)))/$E83)</f>
        <v/>
      </c>
      <c r="AD83" s="26" t="str">
        <f aca="false">IF(OR(M83="",$E83="",N($E83)&lt;=0),"",(M83-ABS(N($F83)))/$E83)</f>
        <v/>
      </c>
      <c r="AE83" s="26" t="n">
        <f aca="false">IF(OR(N83="",$E83="",N($E83)&lt;=0),"",(N83-ABS(N($F83)))/$E83)</f>
        <v>3.17112299465241</v>
      </c>
      <c r="AF83" s="26" t="str">
        <f aca="false">IF(OR(O83="",$E83="",N($E83)&lt;=0),"",(O83-ABS(N($F83)))/$E83)</f>
        <v/>
      </c>
      <c r="AG83" s="26" t="str">
        <f aca="false">IF(OR(P83="",$E83="",N($E83)&lt;=0),"",(P83-ABS(N($F83)))/$E83)</f>
        <v/>
      </c>
      <c r="AH83" s="26" t="str">
        <f aca="false">IF(OR(Q83="",$E83="",N($E83)&lt;=0),"",(Q83-ABS(N($F83)))/$E83)</f>
        <v/>
      </c>
      <c r="AI83" s="26" t="str">
        <f aca="false">IF(OR(R83="",$E83="",N($E83)&lt;=0),"",(R83-ABS(N($F83)))/$E83)</f>
        <v/>
      </c>
      <c r="AJ83" s="26" t="str">
        <f aca="false">IF(OR(S83="",$E83="",N($E83)&lt;=0),"",(S83-ABS(N($F83)))/$E83)</f>
        <v/>
      </c>
      <c r="AK83" s="26" t="str">
        <f aca="false">IF(OR(T83="",$E83="",N($E83)&lt;=0),"",(T83-ABS(N($F83)))/$E83)</f>
        <v/>
      </c>
      <c r="AL83" s="26" t="str">
        <f aca="false">IF(OR(U83="",$E83="",N($E83)&lt;=0),"",(U83-ABS(N($F83)))/$E83)</f>
        <v/>
      </c>
      <c r="AM83" s="26" t="str">
        <f aca="false">IF(OR(V83="",$E83="",N($E83)&lt;=0),"",(V83-ABS(N($F83)))/$E83)</f>
        <v/>
      </c>
      <c r="AN83" s="26" t="str">
        <f aca="false">IF(OR(W83="",$E83="",N($E83)&lt;=0),"",(W83-ABS(N($F83)))/$E83)</f>
        <v/>
      </c>
      <c r="AO83" s="26" t="str">
        <f aca="false">IF(OR(X83="",$E83="",N($E83)&lt;=0),"",(X83-ABS(N($F83)))/$E83)</f>
        <v/>
      </c>
      <c r="AP83" s="26" t="str">
        <f aca="false">IF(OR(Y83="",$E83="",N($E83)&lt;=0),"",(Y83-ABS(N($F83)))/$E83)</f>
        <v/>
      </c>
    </row>
    <row r="84" customFormat="false" ht="15" hidden="false" customHeight="true" outlineLevel="0" collapsed="false">
      <c r="A84" s="9" t="s">
        <v>220</v>
      </c>
      <c r="B84" s="11" t="s">
        <v>326</v>
      </c>
      <c r="C84" s="11" t="s">
        <v>346</v>
      </c>
      <c r="D84" s="21" t="n">
        <v>71.2384</v>
      </c>
      <c r="E84" s="22" t="n">
        <v>3.1</v>
      </c>
      <c r="F84" s="22" t="n">
        <v>0.169</v>
      </c>
      <c r="G84" s="23" t="n">
        <v>866</v>
      </c>
      <c r="H84" s="11" t="s">
        <v>331</v>
      </c>
      <c r="I84" s="24" t="n">
        <f aca="false">MATCH(A84,'TEa input'!$A$6:$A$68,0)</f>
        <v>39</v>
      </c>
      <c r="J84" s="25" t="str">
        <f aca="false">IF(INDEX('TEa input'!$E$6:$E$68,$I84)="","",INDEX('TEa input'!$E$6:$E$68,$I84))</f>
        <v/>
      </c>
      <c r="K84" s="25" t="str">
        <f aca="false">IF(INDEX('TEa input'!$G$6:$G$68,$I84)="","",INDEX('TEa input'!$G$6:$G$68,$I84))</f>
        <v/>
      </c>
      <c r="L84" s="25" t="str">
        <f aca="false">IF(INDEX('TEa input'!$I$6:$I$68,$I84)="","",INDEX('TEa input'!$I$6:$I$68,$I84))</f>
        <v/>
      </c>
      <c r="M84" s="25" t="str">
        <f aca="false">IF(INDEX('TEa input'!$K$6:$K$68,$I84)="","",INDEX('TEa input'!$K$6:$K$68,$I84))</f>
        <v/>
      </c>
      <c r="N84" s="25" t="n">
        <f aca="false">IF(INDEX('TEa input'!$M$6:$M$68,$I84)="","",INDEX('TEa input'!$M$6:$M$68,$I84))</f>
        <v>10</v>
      </c>
      <c r="O84" s="25" t="str">
        <f aca="false">IF(INDEX('TEa input'!$O$6:$O$68,$I84)="","",INDEX('TEa input'!$O$6:$O$68,$I84))</f>
        <v/>
      </c>
      <c r="P84" s="25" t="str">
        <f aca="false">IF(INDEX('TEa input'!$Q$6:$Q$68,$I84)="","",INDEX('TEa input'!$Q$6:$Q$68,$I84))</f>
        <v/>
      </c>
      <c r="Q84" s="25" t="str">
        <f aca="false">IF(INDEX('TEa input'!$R$6:$R$68,$I84)="","",INDEX('TEa input'!$R$6:$R$68,$I84))</f>
        <v/>
      </c>
      <c r="R84" s="25" t="str">
        <f aca="false">IF(INDEX('TEa input'!$T$6:$T$68,$I84)="","",INDEX('TEa input'!$T$6:$T$68,$I84))</f>
        <v/>
      </c>
      <c r="S84" s="25" t="str">
        <f aca="false">IF(INDEX('TEa input'!$Y$6:$Y$68,$I84)="","",INDEX('TEa input'!$Y$6:$Y$68,$I84))</f>
        <v/>
      </c>
      <c r="T84" s="25" t="str">
        <f aca="false">IF(INDEX('TEa input'!$Z$6:$Z$68,$I84)="","",INDEX('TEa input'!$Z$6:$Z$68,$I84))</f>
        <v/>
      </c>
      <c r="U84" s="25" t="str">
        <f aca="false">IF(INDEX('TEa input'!$AA$6:$AA$68,$I84)="","",INDEX('TEa input'!$AA$6:$AA$68,$I84))</f>
        <v/>
      </c>
      <c r="V84" s="25" t="str">
        <f aca="false">IF(INDEX('TEa input'!$AB$6:$AB$68,$I84)="","",INDEX('TEa input'!$AB$6:$AB$68,$I84))</f>
        <v/>
      </c>
      <c r="W84" s="25" t="str">
        <f aca="false">IF(INDEX('TEa input'!$AC$6:$AC$68,$I84)="","",INDEX('TEa input'!$AC$6:$AC$68,$I84))</f>
        <v/>
      </c>
      <c r="X84" s="25" t="str">
        <f aca="false">IF(INDEX('TEa input'!$AD$6:$AD$68,$I84)="","",INDEX('TEa input'!$AD$6:$AD$68,$I84))</f>
        <v/>
      </c>
      <c r="Y84" s="25" t="str">
        <f aca="false">IF(INDEX('TEa input'!$AF$6:$AF$68,$I84)="","",INDEX('TEa input'!$AF$6:$AF$68,$I84))</f>
        <v/>
      </c>
      <c r="AA84" s="26" t="str">
        <f aca="false">IF(OR(J84="",$E84="",N($E84)&lt;=0),"",(J84-ABS(N($F84)))/$E84)</f>
        <v/>
      </c>
      <c r="AB84" s="26" t="str">
        <f aca="false">IF(OR(K84="",$E84="",N($E84)&lt;=0),"",(K84-ABS(N($F84)))/$E84)</f>
        <v/>
      </c>
      <c r="AC84" s="26" t="str">
        <f aca="false">IF(OR(L84="",$E84="",N($E84)&lt;=0),"",(L84-ABS(N($F84)))/$E84)</f>
        <v/>
      </c>
      <c r="AD84" s="26" t="str">
        <f aca="false">IF(OR(M84="",$E84="",N($E84)&lt;=0),"",(M84-ABS(N($F84)))/$E84)</f>
        <v/>
      </c>
      <c r="AE84" s="26" t="n">
        <f aca="false">IF(OR(N84="",$E84="",N($E84)&lt;=0),"",(N84-ABS(N($F84)))/$E84)</f>
        <v>3.17129032258065</v>
      </c>
      <c r="AF84" s="26" t="str">
        <f aca="false">IF(OR(O84="",$E84="",N($E84)&lt;=0),"",(O84-ABS(N($F84)))/$E84)</f>
        <v/>
      </c>
      <c r="AG84" s="26" t="str">
        <f aca="false">IF(OR(P84="",$E84="",N($E84)&lt;=0),"",(P84-ABS(N($F84)))/$E84)</f>
        <v/>
      </c>
      <c r="AH84" s="26" t="str">
        <f aca="false">IF(OR(Q84="",$E84="",N($E84)&lt;=0),"",(Q84-ABS(N($F84)))/$E84)</f>
        <v/>
      </c>
      <c r="AI84" s="26" t="str">
        <f aca="false">IF(OR(R84="",$E84="",N($E84)&lt;=0),"",(R84-ABS(N($F84)))/$E84)</f>
        <v/>
      </c>
      <c r="AJ84" s="26" t="str">
        <f aca="false">IF(OR(S84="",$E84="",N($E84)&lt;=0),"",(S84-ABS(N($F84)))/$E84)</f>
        <v/>
      </c>
      <c r="AK84" s="26" t="str">
        <f aca="false">IF(OR(T84="",$E84="",N($E84)&lt;=0),"",(T84-ABS(N($F84)))/$E84)</f>
        <v/>
      </c>
      <c r="AL84" s="26" t="str">
        <f aca="false">IF(OR(U84="",$E84="",N($E84)&lt;=0),"",(U84-ABS(N($F84)))/$E84)</f>
        <v/>
      </c>
      <c r="AM84" s="26" t="str">
        <f aca="false">IF(OR(V84="",$E84="",N($E84)&lt;=0),"",(V84-ABS(N($F84)))/$E84)</f>
        <v/>
      </c>
      <c r="AN84" s="26" t="str">
        <f aca="false">IF(OR(W84="",$E84="",N($E84)&lt;=0),"",(W84-ABS(N($F84)))/$E84)</f>
        <v/>
      </c>
      <c r="AO84" s="26" t="str">
        <f aca="false">IF(OR(X84="",$E84="",N($E84)&lt;=0),"",(X84-ABS(N($F84)))/$E84)</f>
        <v/>
      </c>
      <c r="AP84" s="26" t="str">
        <f aca="false">IF(OR(Y84="",$E84="",N($E84)&lt;=0),"",(Y84-ABS(N($F84)))/$E84)</f>
        <v/>
      </c>
    </row>
    <row r="85" customFormat="false" ht="15" hidden="false" customHeight="true" outlineLevel="0" collapsed="false">
      <c r="A85" s="9" t="s">
        <v>220</v>
      </c>
      <c r="B85" s="11" t="s">
        <v>329</v>
      </c>
      <c r="C85" s="11" t="s">
        <v>347</v>
      </c>
      <c r="D85" s="21" t="n">
        <v>238.245</v>
      </c>
      <c r="E85" s="22" t="n">
        <v>2.071</v>
      </c>
      <c r="F85" s="22" t="n">
        <v>0.064</v>
      </c>
      <c r="G85" s="23" t="n">
        <v>870</v>
      </c>
      <c r="H85" s="11" t="s">
        <v>333</v>
      </c>
      <c r="I85" s="24" t="n">
        <f aca="false">MATCH(A85,'TEa input'!$A$6:$A$68,0)</f>
        <v>39</v>
      </c>
      <c r="J85" s="25" t="str">
        <f aca="false">IF(INDEX('TEa input'!$E$6:$E$68,$I85)="","",INDEX('TEa input'!$E$6:$E$68,$I85))</f>
        <v/>
      </c>
      <c r="K85" s="25" t="str">
        <f aca="false">IF(INDEX('TEa input'!$G$6:$G$68,$I85)="","",INDEX('TEa input'!$G$6:$G$68,$I85))</f>
        <v/>
      </c>
      <c r="L85" s="25" t="str">
        <f aca="false">IF(INDEX('TEa input'!$I$6:$I$68,$I85)="","",INDEX('TEa input'!$I$6:$I$68,$I85))</f>
        <v/>
      </c>
      <c r="M85" s="25" t="str">
        <f aca="false">IF(INDEX('TEa input'!$K$6:$K$68,$I85)="","",INDEX('TEa input'!$K$6:$K$68,$I85))</f>
        <v/>
      </c>
      <c r="N85" s="25" t="n">
        <f aca="false">IF(INDEX('TEa input'!$M$6:$M$68,$I85)="","",INDEX('TEa input'!$M$6:$M$68,$I85))</f>
        <v>10</v>
      </c>
      <c r="O85" s="25" t="str">
        <f aca="false">IF(INDEX('TEa input'!$O$6:$O$68,$I85)="","",INDEX('TEa input'!$O$6:$O$68,$I85))</f>
        <v/>
      </c>
      <c r="P85" s="25" t="str">
        <f aca="false">IF(INDEX('TEa input'!$Q$6:$Q$68,$I85)="","",INDEX('TEa input'!$Q$6:$Q$68,$I85))</f>
        <v/>
      </c>
      <c r="Q85" s="25" t="str">
        <f aca="false">IF(INDEX('TEa input'!$R$6:$R$68,$I85)="","",INDEX('TEa input'!$R$6:$R$68,$I85))</f>
        <v/>
      </c>
      <c r="R85" s="25" t="str">
        <f aca="false">IF(INDEX('TEa input'!$T$6:$T$68,$I85)="","",INDEX('TEa input'!$T$6:$T$68,$I85))</f>
        <v/>
      </c>
      <c r="S85" s="25" t="str">
        <f aca="false">IF(INDEX('TEa input'!$Y$6:$Y$68,$I85)="","",INDEX('TEa input'!$Y$6:$Y$68,$I85))</f>
        <v/>
      </c>
      <c r="T85" s="25" t="str">
        <f aca="false">IF(INDEX('TEa input'!$Z$6:$Z$68,$I85)="","",INDEX('TEa input'!$Z$6:$Z$68,$I85))</f>
        <v/>
      </c>
      <c r="U85" s="25" t="str">
        <f aca="false">IF(INDEX('TEa input'!$AA$6:$AA$68,$I85)="","",INDEX('TEa input'!$AA$6:$AA$68,$I85))</f>
        <v/>
      </c>
      <c r="V85" s="25" t="str">
        <f aca="false">IF(INDEX('TEa input'!$AB$6:$AB$68,$I85)="","",INDEX('TEa input'!$AB$6:$AB$68,$I85))</f>
        <v/>
      </c>
      <c r="W85" s="25" t="str">
        <f aca="false">IF(INDEX('TEa input'!$AC$6:$AC$68,$I85)="","",INDEX('TEa input'!$AC$6:$AC$68,$I85))</f>
        <v/>
      </c>
      <c r="X85" s="25" t="str">
        <f aca="false">IF(INDEX('TEa input'!$AD$6:$AD$68,$I85)="","",INDEX('TEa input'!$AD$6:$AD$68,$I85))</f>
        <v/>
      </c>
      <c r="Y85" s="25" t="str">
        <f aca="false">IF(INDEX('TEa input'!$AF$6:$AF$68,$I85)="","",INDEX('TEa input'!$AF$6:$AF$68,$I85))</f>
        <v/>
      </c>
      <c r="AA85" s="26" t="str">
        <f aca="false">IF(OR(J85="",$E85="",N($E85)&lt;=0),"",(J85-ABS(N($F85)))/$E85)</f>
        <v/>
      </c>
      <c r="AB85" s="26" t="str">
        <f aca="false">IF(OR(K85="",$E85="",N($E85)&lt;=0),"",(K85-ABS(N($F85)))/$E85)</f>
        <v/>
      </c>
      <c r="AC85" s="26" t="str">
        <f aca="false">IF(OR(L85="",$E85="",N($E85)&lt;=0),"",(L85-ABS(N($F85)))/$E85)</f>
        <v/>
      </c>
      <c r="AD85" s="26" t="str">
        <f aca="false">IF(OR(M85="",$E85="",N($E85)&lt;=0),"",(M85-ABS(N($F85)))/$E85)</f>
        <v/>
      </c>
      <c r="AE85" s="26" t="n">
        <f aca="false">IF(OR(N85="",$E85="",N($E85)&lt;=0),"",(N85-ABS(N($F85)))/$E85)</f>
        <v>4.79768227909223</v>
      </c>
      <c r="AF85" s="26" t="str">
        <f aca="false">IF(OR(O85="",$E85="",N($E85)&lt;=0),"",(O85-ABS(N($F85)))/$E85)</f>
        <v/>
      </c>
      <c r="AG85" s="26" t="str">
        <f aca="false">IF(OR(P85="",$E85="",N($E85)&lt;=0),"",(P85-ABS(N($F85)))/$E85)</f>
        <v/>
      </c>
      <c r="AH85" s="26" t="str">
        <f aca="false">IF(OR(Q85="",$E85="",N($E85)&lt;=0),"",(Q85-ABS(N($F85)))/$E85)</f>
        <v/>
      </c>
      <c r="AI85" s="26" t="str">
        <f aca="false">IF(OR(R85="",$E85="",N($E85)&lt;=0),"",(R85-ABS(N($F85)))/$E85)</f>
        <v/>
      </c>
      <c r="AJ85" s="26" t="str">
        <f aca="false">IF(OR(S85="",$E85="",N($E85)&lt;=0),"",(S85-ABS(N($F85)))/$E85)</f>
        <v/>
      </c>
      <c r="AK85" s="26" t="str">
        <f aca="false">IF(OR(T85="",$E85="",N($E85)&lt;=0),"",(T85-ABS(N($F85)))/$E85)</f>
        <v/>
      </c>
      <c r="AL85" s="26" t="str">
        <f aca="false">IF(OR(U85="",$E85="",N($E85)&lt;=0),"",(U85-ABS(N($F85)))/$E85)</f>
        <v/>
      </c>
      <c r="AM85" s="26" t="str">
        <f aca="false">IF(OR(V85="",$E85="",N($E85)&lt;=0),"",(V85-ABS(N($F85)))/$E85)</f>
        <v/>
      </c>
      <c r="AN85" s="26" t="str">
        <f aca="false">IF(OR(W85="",$E85="",N($E85)&lt;=0),"",(W85-ABS(N($F85)))/$E85)</f>
        <v/>
      </c>
      <c r="AO85" s="26" t="str">
        <f aca="false">IF(OR(X85="",$E85="",N($E85)&lt;=0),"",(X85-ABS(N($F85)))/$E85)</f>
        <v/>
      </c>
      <c r="AP85" s="26" t="str">
        <f aca="false">IF(OR(Y85="",$E85="",N($E85)&lt;=0),"",(Y85-ABS(N($F85)))/$E85)</f>
        <v/>
      </c>
    </row>
    <row r="86" customFormat="false" ht="15" hidden="false" customHeight="true" outlineLevel="0" collapsed="false">
      <c r="A86" s="9" t="s">
        <v>222</v>
      </c>
      <c r="B86" s="11" t="s">
        <v>326</v>
      </c>
      <c r="C86" s="11" t="s">
        <v>346</v>
      </c>
      <c r="D86" s="21" t="n">
        <v>11.2</v>
      </c>
      <c r="E86" s="22" t="n">
        <v>2.805</v>
      </c>
      <c r="F86" s="22" t="n">
        <v>0.11</v>
      </c>
      <c r="G86" s="23" t="n">
        <v>789</v>
      </c>
      <c r="H86" s="11" t="s">
        <v>340</v>
      </c>
      <c r="I86" s="24" t="n">
        <f aca="false">MATCH(A86,'TEa input'!$A$6:$A$68,0)</f>
        <v>40</v>
      </c>
      <c r="J86" s="25" t="str">
        <f aca="false">IF(INDEX('TEa input'!$E$6:$E$68,$I86)="","",INDEX('TEa input'!$E$6:$E$68,$I86))</f>
        <v/>
      </c>
      <c r="K86" s="25" t="n">
        <f aca="false">IF(INDEX('TEa input'!$G$6:$G$68,$I86)="","",INDEX('TEa input'!$G$6:$G$68,$I86))</f>
        <v>20</v>
      </c>
      <c r="L86" s="25" t="n">
        <f aca="false">IF(INDEX('TEa input'!$I$6:$I$68,$I86)="","",INDEX('TEa input'!$I$6:$I$68,$I86))</f>
        <v>9</v>
      </c>
      <c r="M86" s="25" t="str">
        <f aca="false">IF(INDEX('TEa input'!$K$6:$K$68,$I86)="","",INDEX('TEa input'!$K$6:$K$68,$I86))</f>
        <v/>
      </c>
      <c r="N86" s="25" t="n">
        <f aca="false">IF(INDEX('TEa input'!$M$6:$M$68,$I86)="","",INDEX('TEa input'!$M$6:$M$68,$I86))</f>
        <v>10</v>
      </c>
      <c r="O86" s="25" t="str">
        <f aca="false">IF(INDEX('TEa input'!$O$6:$O$68,$I86)="","",INDEX('TEa input'!$O$6:$O$68,$I86))</f>
        <v/>
      </c>
      <c r="P86" s="25" t="str">
        <f aca="false">IF(INDEX('TEa input'!$Q$6:$Q$68,$I86)="","",INDEX('TEa input'!$Q$6:$Q$68,$I86))</f>
        <v/>
      </c>
      <c r="Q86" s="25" t="str">
        <f aca="false">IF(INDEX('TEa input'!$R$6:$R$68,$I86)="","",INDEX('TEa input'!$R$6:$R$68,$I86))</f>
        <v/>
      </c>
      <c r="R86" s="25" t="str">
        <f aca="false">IF(INDEX('TEa input'!$T$6:$T$68,$I86)="","",INDEX('TEa input'!$T$6:$T$68,$I86))</f>
        <v/>
      </c>
      <c r="S86" s="25" t="str">
        <f aca="false">IF(INDEX('TEa input'!$Y$6:$Y$68,$I86)="","",INDEX('TEa input'!$Y$6:$Y$68,$I86))</f>
        <v/>
      </c>
      <c r="T86" s="25" t="str">
        <f aca="false">IF(INDEX('TEa input'!$Z$6:$Z$68,$I86)="","",INDEX('TEa input'!$Z$6:$Z$68,$I86))</f>
        <v/>
      </c>
      <c r="U86" s="25" t="str">
        <f aca="false">IF(INDEX('TEa input'!$AA$6:$AA$68,$I86)="","",INDEX('TEa input'!$AA$6:$AA$68,$I86))</f>
        <v/>
      </c>
      <c r="V86" s="25" t="str">
        <f aca="false">IF(INDEX('TEa input'!$AB$6:$AB$68,$I86)="","",INDEX('TEa input'!$AB$6:$AB$68,$I86))</f>
        <v/>
      </c>
      <c r="W86" s="25" t="str">
        <f aca="false">IF(INDEX('TEa input'!$AC$6:$AC$68,$I86)="","",INDEX('TEa input'!$AC$6:$AC$68,$I86))</f>
        <v/>
      </c>
      <c r="X86" s="25" t="str">
        <f aca="false">IF(INDEX('TEa input'!$AD$6:$AD$68,$I86)="","",INDEX('TEa input'!$AD$6:$AD$68,$I86))</f>
        <v/>
      </c>
      <c r="Y86" s="25" t="str">
        <f aca="false">IF(INDEX('TEa input'!$AF$6:$AF$68,$I86)="","",INDEX('TEa input'!$AF$6:$AF$68,$I86))</f>
        <v/>
      </c>
      <c r="AA86" s="26" t="str">
        <f aca="false">IF(OR(J86="",$E86="",N($E86)&lt;=0),"",(J86-ABS(N($F86)))/$E86)</f>
        <v/>
      </c>
      <c r="AB86" s="26" t="n">
        <f aca="false">IF(OR(K86="",$E86="",N($E86)&lt;=0),"",(K86-ABS(N($F86)))/$E86)</f>
        <v>7.09090909090909</v>
      </c>
      <c r="AC86" s="26" t="n">
        <f aca="false">IF(OR(L86="",$E86="",N($E86)&lt;=0),"",(L86-ABS(N($F86)))/$E86)</f>
        <v>3.16934046345811</v>
      </c>
      <c r="AD86" s="26" t="str">
        <f aca="false">IF(OR(M86="",$E86="",N($E86)&lt;=0),"",(M86-ABS(N($F86)))/$E86)</f>
        <v/>
      </c>
      <c r="AE86" s="26" t="n">
        <f aca="false">IF(OR(N86="",$E86="",N($E86)&lt;=0),"",(N86-ABS(N($F86)))/$E86)</f>
        <v>3.52584670231729</v>
      </c>
      <c r="AF86" s="26" t="str">
        <f aca="false">IF(OR(O86="",$E86="",N($E86)&lt;=0),"",(O86-ABS(N($F86)))/$E86)</f>
        <v/>
      </c>
      <c r="AG86" s="26" t="str">
        <f aca="false">IF(OR(P86="",$E86="",N($E86)&lt;=0),"",(P86-ABS(N($F86)))/$E86)</f>
        <v/>
      </c>
      <c r="AH86" s="26" t="str">
        <f aca="false">IF(OR(Q86="",$E86="",N($E86)&lt;=0),"",(Q86-ABS(N($F86)))/$E86)</f>
        <v/>
      </c>
      <c r="AI86" s="26" t="str">
        <f aca="false">IF(OR(R86="",$E86="",N($E86)&lt;=0),"",(R86-ABS(N($F86)))/$E86)</f>
        <v/>
      </c>
      <c r="AJ86" s="26" t="str">
        <f aca="false">IF(OR(S86="",$E86="",N($E86)&lt;=0),"",(S86-ABS(N($F86)))/$E86)</f>
        <v/>
      </c>
      <c r="AK86" s="26" t="str">
        <f aca="false">IF(OR(T86="",$E86="",N($E86)&lt;=0),"",(T86-ABS(N($F86)))/$E86)</f>
        <v/>
      </c>
      <c r="AL86" s="26" t="str">
        <f aca="false">IF(OR(U86="",$E86="",N($E86)&lt;=0),"",(U86-ABS(N($F86)))/$E86)</f>
        <v/>
      </c>
      <c r="AM86" s="26" t="str">
        <f aca="false">IF(OR(V86="",$E86="",N($E86)&lt;=0),"",(V86-ABS(N($F86)))/$E86)</f>
        <v/>
      </c>
      <c r="AN86" s="26" t="str">
        <f aca="false">IF(OR(W86="",$E86="",N($E86)&lt;=0),"",(W86-ABS(N($F86)))/$E86)</f>
        <v/>
      </c>
      <c r="AO86" s="26" t="str">
        <f aca="false">IF(OR(X86="",$E86="",N($E86)&lt;=0),"",(X86-ABS(N($F86)))/$E86)</f>
        <v/>
      </c>
      <c r="AP86" s="26" t="str">
        <f aca="false">IF(OR(Y86="",$E86="",N($E86)&lt;=0),"",(Y86-ABS(N($F86)))/$E86)</f>
        <v/>
      </c>
    </row>
    <row r="87" customFormat="false" ht="15" hidden="false" customHeight="true" outlineLevel="0" collapsed="false">
      <c r="A87" s="9" t="s">
        <v>222</v>
      </c>
      <c r="B87" s="11" t="s">
        <v>329</v>
      </c>
      <c r="C87" s="11" t="s">
        <v>347</v>
      </c>
      <c r="D87" s="21" t="n">
        <v>33.4212</v>
      </c>
      <c r="E87" s="22" t="n">
        <v>2.108</v>
      </c>
      <c r="F87" s="22" t="n">
        <v>0.407</v>
      </c>
      <c r="G87" s="23" t="n">
        <v>789</v>
      </c>
      <c r="H87" s="11" t="s">
        <v>340</v>
      </c>
      <c r="I87" s="24" t="n">
        <f aca="false">MATCH(A87,'TEa input'!$A$6:$A$68,0)</f>
        <v>40</v>
      </c>
      <c r="J87" s="25" t="str">
        <f aca="false">IF(INDEX('TEa input'!$E$6:$E$68,$I87)="","",INDEX('TEa input'!$E$6:$E$68,$I87))</f>
        <v/>
      </c>
      <c r="K87" s="25" t="n">
        <f aca="false">IF(INDEX('TEa input'!$G$6:$G$68,$I87)="","",INDEX('TEa input'!$G$6:$G$68,$I87))</f>
        <v>20</v>
      </c>
      <c r="L87" s="25" t="n">
        <f aca="false">IF(INDEX('TEa input'!$I$6:$I$68,$I87)="","",INDEX('TEa input'!$I$6:$I$68,$I87))</f>
        <v>9</v>
      </c>
      <c r="M87" s="25" t="str">
        <f aca="false">IF(INDEX('TEa input'!$K$6:$K$68,$I87)="","",INDEX('TEa input'!$K$6:$K$68,$I87))</f>
        <v/>
      </c>
      <c r="N87" s="25" t="n">
        <f aca="false">IF(INDEX('TEa input'!$M$6:$M$68,$I87)="","",INDEX('TEa input'!$M$6:$M$68,$I87))</f>
        <v>10</v>
      </c>
      <c r="O87" s="25" t="str">
        <f aca="false">IF(INDEX('TEa input'!$O$6:$O$68,$I87)="","",INDEX('TEa input'!$O$6:$O$68,$I87))</f>
        <v/>
      </c>
      <c r="P87" s="25" t="str">
        <f aca="false">IF(INDEX('TEa input'!$Q$6:$Q$68,$I87)="","",INDEX('TEa input'!$Q$6:$Q$68,$I87))</f>
        <v/>
      </c>
      <c r="Q87" s="25" t="str">
        <f aca="false">IF(INDEX('TEa input'!$R$6:$R$68,$I87)="","",INDEX('TEa input'!$R$6:$R$68,$I87))</f>
        <v/>
      </c>
      <c r="R87" s="25" t="str">
        <f aca="false">IF(INDEX('TEa input'!$T$6:$T$68,$I87)="","",INDEX('TEa input'!$T$6:$T$68,$I87))</f>
        <v/>
      </c>
      <c r="S87" s="25" t="str">
        <f aca="false">IF(INDEX('TEa input'!$Y$6:$Y$68,$I87)="","",INDEX('TEa input'!$Y$6:$Y$68,$I87))</f>
        <v/>
      </c>
      <c r="T87" s="25" t="str">
        <f aca="false">IF(INDEX('TEa input'!$Z$6:$Z$68,$I87)="","",INDEX('TEa input'!$Z$6:$Z$68,$I87))</f>
        <v/>
      </c>
      <c r="U87" s="25" t="str">
        <f aca="false">IF(INDEX('TEa input'!$AA$6:$AA$68,$I87)="","",INDEX('TEa input'!$AA$6:$AA$68,$I87))</f>
        <v/>
      </c>
      <c r="V87" s="25" t="str">
        <f aca="false">IF(INDEX('TEa input'!$AB$6:$AB$68,$I87)="","",INDEX('TEa input'!$AB$6:$AB$68,$I87))</f>
        <v/>
      </c>
      <c r="W87" s="25" t="str">
        <f aca="false">IF(INDEX('TEa input'!$AC$6:$AC$68,$I87)="","",INDEX('TEa input'!$AC$6:$AC$68,$I87))</f>
        <v/>
      </c>
      <c r="X87" s="25" t="str">
        <f aca="false">IF(INDEX('TEa input'!$AD$6:$AD$68,$I87)="","",INDEX('TEa input'!$AD$6:$AD$68,$I87))</f>
        <v/>
      </c>
      <c r="Y87" s="25" t="str">
        <f aca="false">IF(INDEX('TEa input'!$AF$6:$AF$68,$I87)="","",INDEX('TEa input'!$AF$6:$AF$68,$I87))</f>
        <v/>
      </c>
      <c r="AA87" s="26" t="str">
        <f aca="false">IF(OR(J87="",$E87="",N($E87)&lt;=0),"",(J87-ABS(N($F87)))/$E87)</f>
        <v/>
      </c>
      <c r="AB87" s="26" t="n">
        <f aca="false">IF(OR(K87="",$E87="",N($E87)&lt;=0),"",(K87-ABS(N($F87)))/$E87)</f>
        <v>9.29459203036053</v>
      </c>
      <c r="AC87" s="26" t="n">
        <f aca="false">IF(OR(L87="",$E87="",N($E87)&lt;=0),"",(L87-ABS(N($F87)))/$E87)</f>
        <v>4.07637571157495</v>
      </c>
      <c r="AD87" s="26" t="str">
        <f aca="false">IF(OR(M87="",$E87="",N($E87)&lt;=0),"",(M87-ABS(N($F87)))/$E87)</f>
        <v/>
      </c>
      <c r="AE87" s="26" t="n">
        <f aca="false">IF(OR(N87="",$E87="",N($E87)&lt;=0),"",(N87-ABS(N($F87)))/$E87)</f>
        <v>4.55075901328273</v>
      </c>
      <c r="AF87" s="26" t="str">
        <f aca="false">IF(OR(O87="",$E87="",N($E87)&lt;=0),"",(O87-ABS(N($F87)))/$E87)</f>
        <v/>
      </c>
      <c r="AG87" s="26" t="str">
        <f aca="false">IF(OR(P87="",$E87="",N($E87)&lt;=0),"",(P87-ABS(N($F87)))/$E87)</f>
        <v/>
      </c>
      <c r="AH87" s="26" t="str">
        <f aca="false">IF(OR(Q87="",$E87="",N($E87)&lt;=0),"",(Q87-ABS(N($F87)))/$E87)</f>
        <v/>
      </c>
      <c r="AI87" s="26" t="str">
        <f aca="false">IF(OR(R87="",$E87="",N($E87)&lt;=0),"",(R87-ABS(N($F87)))/$E87)</f>
        <v/>
      </c>
      <c r="AJ87" s="26" t="str">
        <f aca="false">IF(OR(S87="",$E87="",N($E87)&lt;=0),"",(S87-ABS(N($F87)))/$E87)</f>
        <v/>
      </c>
      <c r="AK87" s="26" t="str">
        <f aca="false">IF(OR(T87="",$E87="",N($E87)&lt;=0),"",(T87-ABS(N($F87)))/$E87)</f>
        <v/>
      </c>
      <c r="AL87" s="26" t="str">
        <f aca="false">IF(OR(U87="",$E87="",N($E87)&lt;=0),"",(U87-ABS(N($F87)))/$E87)</f>
        <v/>
      </c>
      <c r="AM87" s="26" t="str">
        <f aca="false">IF(OR(V87="",$E87="",N($E87)&lt;=0),"",(V87-ABS(N($F87)))/$E87)</f>
        <v/>
      </c>
      <c r="AN87" s="26" t="str">
        <f aca="false">IF(OR(W87="",$E87="",N($E87)&lt;=0),"",(W87-ABS(N($F87)))/$E87)</f>
        <v/>
      </c>
      <c r="AO87" s="26" t="str">
        <f aca="false">IF(OR(X87="",$E87="",N($E87)&lt;=0),"",(X87-ABS(N($F87)))/$E87)</f>
        <v/>
      </c>
      <c r="AP87" s="26" t="str">
        <f aca="false">IF(OR(Y87="",$E87="",N($E87)&lt;=0),"",(Y87-ABS(N($F87)))/$E87)</f>
        <v/>
      </c>
    </row>
    <row r="88" customFormat="false" ht="15" hidden="false" customHeight="true" outlineLevel="0" collapsed="false">
      <c r="A88" s="9" t="s">
        <v>225</v>
      </c>
      <c r="B88" s="11" t="s">
        <v>326</v>
      </c>
      <c r="C88" s="11" t="s">
        <v>348</v>
      </c>
      <c r="D88" s="21" t="n">
        <v>12.7367</v>
      </c>
      <c r="E88" s="22" t="n">
        <v>2.463</v>
      </c>
      <c r="F88" s="22" t="n">
        <v>0.4</v>
      </c>
      <c r="G88" s="23" t="n">
        <v>1113</v>
      </c>
      <c r="H88" s="11" t="s">
        <v>340</v>
      </c>
      <c r="I88" s="24" t="n">
        <f aca="false">MATCH(A88,'TEa input'!$A$6:$A$68,0)</f>
        <v>41</v>
      </c>
      <c r="J88" s="25" t="str">
        <f aca="false">IF(INDEX('TEa input'!$E$6:$E$68,$I88)="","",INDEX('TEa input'!$E$6:$E$68,$I88))</f>
        <v/>
      </c>
      <c r="K88" s="25" t="str">
        <f aca="false">IF(INDEX('TEa input'!$G$6:$G$68,$I88)="","",INDEX('TEa input'!$G$6:$G$68,$I88))</f>
        <v/>
      </c>
      <c r="L88" s="25" t="str">
        <f aca="false">IF(INDEX('TEa input'!$I$6:$I$68,$I88)="","",INDEX('TEa input'!$I$6:$I$68,$I88))</f>
        <v/>
      </c>
      <c r="M88" s="25" t="str">
        <f aca="false">IF(INDEX('TEa input'!$K$6:$K$68,$I88)="","",INDEX('TEa input'!$K$6:$K$68,$I88))</f>
        <v/>
      </c>
      <c r="N88" s="25" t="n">
        <f aca="false">IF(INDEX('TEa input'!$M$6:$M$68,$I88)="","",INDEX('TEa input'!$M$6:$M$68,$I88))</f>
        <v>10</v>
      </c>
      <c r="O88" s="25" t="str">
        <f aca="false">IF(INDEX('TEa input'!$O$6:$O$68,$I88)="","",INDEX('TEa input'!$O$6:$O$68,$I88))</f>
        <v/>
      </c>
      <c r="P88" s="25" t="str">
        <f aca="false">IF(INDEX('TEa input'!$Q$6:$Q$68,$I88)="","",INDEX('TEa input'!$Q$6:$Q$68,$I88))</f>
        <v/>
      </c>
      <c r="Q88" s="25" t="str">
        <f aca="false">IF(INDEX('TEa input'!$R$6:$R$68,$I88)="","",INDEX('TEa input'!$R$6:$R$68,$I88))</f>
        <v/>
      </c>
      <c r="R88" s="25" t="str">
        <f aca="false">IF(INDEX('TEa input'!$T$6:$T$68,$I88)="","",INDEX('TEa input'!$T$6:$T$68,$I88))</f>
        <v/>
      </c>
      <c r="S88" s="25" t="str">
        <f aca="false">IF(INDEX('TEa input'!$Y$6:$Y$68,$I88)="","",INDEX('TEa input'!$Y$6:$Y$68,$I88))</f>
        <v/>
      </c>
      <c r="T88" s="25" t="str">
        <f aca="false">IF(INDEX('TEa input'!$Z$6:$Z$68,$I88)="","",INDEX('TEa input'!$Z$6:$Z$68,$I88))</f>
        <v/>
      </c>
      <c r="U88" s="25" t="str">
        <f aca="false">IF(INDEX('TEa input'!$AA$6:$AA$68,$I88)="","",INDEX('TEa input'!$AA$6:$AA$68,$I88))</f>
        <v/>
      </c>
      <c r="V88" s="25" t="str">
        <f aca="false">IF(INDEX('TEa input'!$AB$6:$AB$68,$I88)="","",INDEX('TEa input'!$AB$6:$AB$68,$I88))</f>
        <v/>
      </c>
      <c r="W88" s="25" t="str">
        <f aca="false">IF(INDEX('TEa input'!$AC$6:$AC$68,$I88)="","",INDEX('TEa input'!$AC$6:$AC$68,$I88))</f>
        <v/>
      </c>
      <c r="X88" s="25" t="str">
        <f aca="false">IF(INDEX('TEa input'!$AD$6:$AD$68,$I88)="","",INDEX('TEa input'!$AD$6:$AD$68,$I88))</f>
        <v/>
      </c>
      <c r="Y88" s="25" t="str">
        <f aca="false">IF(INDEX('TEa input'!$AF$6:$AF$68,$I88)="","",INDEX('TEa input'!$AF$6:$AF$68,$I88))</f>
        <v/>
      </c>
      <c r="AA88" s="26" t="str">
        <f aca="false">IF(OR(J88="",$E88="",N($E88)&lt;=0),"",(J88-ABS(N($F88)))/$E88)</f>
        <v/>
      </c>
      <c r="AB88" s="26" t="str">
        <f aca="false">IF(OR(K88="",$E88="",N($E88)&lt;=0),"",(K88-ABS(N($F88)))/$E88)</f>
        <v/>
      </c>
      <c r="AC88" s="26" t="str">
        <f aca="false">IF(OR(L88="",$E88="",N($E88)&lt;=0),"",(L88-ABS(N($F88)))/$E88)</f>
        <v/>
      </c>
      <c r="AD88" s="26" t="str">
        <f aca="false">IF(OR(M88="",$E88="",N($E88)&lt;=0),"",(M88-ABS(N($F88)))/$E88)</f>
        <v/>
      </c>
      <c r="AE88" s="26" t="n">
        <f aca="false">IF(OR(N88="",$E88="",N($E88)&lt;=0),"",(N88-ABS(N($F88)))/$E88)</f>
        <v>3.89768574908648</v>
      </c>
      <c r="AF88" s="26" t="str">
        <f aca="false">IF(OR(O88="",$E88="",N($E88)&lt;=0),"",(O88-ABS(N($F88)))/$E88)</f>
        <v/>
      </c>
      <c r="AG88" s="26" t="str">
        <f aca="false">IF(OR(P88="",$E88="",N($E88)&lt;=0),"",(P88-ABS(N($F88)))/$E88)</f>
        <v/>
      </c>
      <c r="AH88" s="26" t="str">
        <f aca="false">IF(OR(Q88="",$E88="",N($E88)&lt;=0),"",(Q88-ABS(N($F88)))/$E88)</f>
        <v/>
      </c>
      <c r="AI88" s="26" t="str">
        <f aca="false">IF(OR(R88="",$E88="",N($E88)&lt;=0),"",(R88-ABS(N($F88)))/$E88)</f>
        <v/>
      </c>
      <c r="AJ88" s="26" t="str">
        <f aca="false">IF(OR(S88="",$E88="",N($E88)&lt;=0),"",(S88-ABS(N($F88)))/$E88)</f>
        <v/>
      </c>
      <c r="AK88" s="26" t="str">
        <f aca="false">IF(OR(T88="",$E88="",N($E88)&lt;=0),"",(T88-ABS(N($F88)))/$E88)</f>
        <v/>
      </c>
      <c r="AL88" s="26" t="str">
        <f aca="false">IF(OR(U88="",$E88="",N($E88)&lt;=0),"",(U88-ABS(N($F88)))/$E88)</f>
        <v/>
      </c>
      <c r="AM88" s="26" t="str">
        <f aca="false">IF(OR(V88="",$E88="",N($E88)&lt;=0),"",(V88-ABS(N($F88)))/$E88)</f>
        <v/>
      </c>
      <c r="AN88" s="26" t="str">
        <f aca="false">IF(OR(W88="",$E88="",N($E88)&lt;=0),"",(W88-ABS(N($F88)))/$E88)</f>
        <v/>
      </c>
      <c r="AO88" s="26" t="str">
        <f aca="false">IF(OR(X88="",$E88="",N($E88)&lt;=0),"",(X88-ABS(N($F88)))/$E88)</f>
        <v/>
      </c>
      <c r="AP88" s="26" t="str">
        <f aca="false">IF(OR(Y88="",$E88="",N($E88)&lt;=0),"",(Y88-ABS(N($F88)))/$E88)</f>
        <v/>
      </c>
    </row>
    <row r="89" customFormat="false" ht="15" hidden="false" customHeight="true" outlineLevel="0" collapsed="false">
      <c r="A89" s="9" t="s">
        <v>225</v>
      </c>
      <c r="B89" s="11" t="s">
        <v>329</v>
      </c>
      <c r="C89" s="11" t="s">
        <v>349</v>
      </c>
      <c r="D89" s="21" t="n">
        <v>38.7577</v>
      </c>
      <c r="E89" s="22" t="n">
        <v>2.817</v>
      </c>
      <c r="F89" s="22" t="n">
        <v>0.364</v>
      </c>
      <c r="G89" s="23" t="n">
        <v>1115</v>
      </c>
      <c r="H89" s="11" t="s">
        <v>340</v>
      </c>
      <c r="I89" s="24" t="n">
        <f aca="false">MATCH(A89,'TEa input'!$A$6:$A$68,0)</f>
        <v>41</v>
      </c>
      <c r="J89" s="25" t="str">
        <f aca="false">IF(INDEX('TEa input'!$E$6:$E$68,$I89)="","",INDEX('TEa input'!$E$6:$E$68,$I89))</f>
        <v/>
      </c>
      <c r="K89" s="25" t="str">
        <f aca="false">IF(INDEX('TEa input'!$G$6:$G$68,$I89)="","",INDEX('TEa input'!$G$6:$G$68,$I89))</f>
        <v/>
      </c>
      <c r="L89" s="25" t="str">
        <f aca="false">IF(INDEX('TEa input'!$I$6:$I$68,$I89)="","",INDEX('TEa input'!$I$6:$I$68,$I89))</f>
        <v/>
      </c>
      <c r="M89" s="25" t="str">
        <f aca="false">IF(INDEX('TEa input'!$K$6:$K$68,$I89)="","",INDEX('TEa input'!$K$6:$K$68,$I89))</f>
        <v/>
      </c>
      <c r="N89" s="25" t="n">
        <f aca="false">IF(INDEX('TEa input'!$M$6:$M$68,$I89)="","",INDEX('TEa input'!$M$6:$M$68,$I89))</f>
        <v>10</v>
      </c>
      <c r="O89" s="25" t="str">
        <f aca="false">IF(INDEX('TEa input'!$O$6:$O$68,$I89)="","",INDEX('TEa input'!$O$6:$O$68,$I89))</f>
        <v/>
      </c>
      <c r="P89" s="25" t="str">
        <f aca="false">IF(INDEX('TEa input'!$Q$6:$Q$68,$I89)="","",INDEX('TEa input'!$Q$6:$Q$68,$I89))</f>
        <v/>
      </c>
      <c r="Q89" s="25" t="str">
        <f aca="false">IF(INDEX('TEa input'!$R$6:$R$68,$I89)="","",INDEX('TEa input'!$R$6:$R$68,$I89))</f>
        <v/>
      </c>
      <c r="R89" s="25" t="str">
        <f aca="false">IF(INDEX('TEa input'!$T$6:$T$68,$I89)="","",INDEX('TEa input'!$T$6:$T$68,$I89))</f>
        <v/>
      </c>
      <c r="S89" s="25" t="str">
        <f aca="false">IF(INDEX('TEa input'!$Y$6:$Y$68,$I89)="","",INDEX('TEa input'!$Y$6:$Y$68,$I89))</f>
        <v/>
      </c>
      <c r="T89" s="25" t="str">
        <f aca="false">IF(INDEX('TEa input'!$Z$6:$Z$68,$I89)="","",INDEX('TEa input'!$Z$6:$Z$68,$I89))</f>
        <v/>
      </c>
      <c r="U89" s="25" t="str">
        <f aca="false">IF(INDEX('TEa input'!$AA$6:$AA$68,$I89)="","",INDEX('TEa input'!$AA$6:$AA$68,$I89))</f>
        <v/>
      </c>
      <c r="V89" s="25" t="str">
        <f aca="false">IF(INDEX('TEa input'!$AB$6:$AB$68,$I89)="","",INDEX('TEa input'!$AB$6:$AB$68,$I89))</f>
        <v/>
      </c>
      <c r="W89" s="25" t="str">
        <f aca="false">IF(INDEX('TEa input'!$AC$6:$AC$68,$I89)="","",INDEX('TEa input'!$AC$6:$AC$68,$I89))</f>
        <v/>
      </c>
      <c r="X89" s="25" t="str">
        <f aca="false">IF(INDEX('TEa input'!$AD$6:$AD$68,$I89)="","",INDEX('TEa input'!$AD$6:$AD$68,$I89))</f>
        <v/>
      </c>
      <c r="Y89" s="25" t="str">
        <f aca="false">IF(INDEX('TEa input'!$AF$6:$AF$68,$I89)="","",INDEX('TEa input'!$AF$6:$AF$68,$I89))</f>
        <v/>
      </c>
      <c r="AA89" s="26" t="str">
        <f aca="false">IF(OR(J89="",$E89="",N($E89)&lt;=0),"",(J89-ABS(N($F89)))/$E89)</f>
        <v/>
      </c>
      <c r="AB89" s="26" t="str">
        <f aca="false">IF(OR(K89="",$E89="",N($E89)&lt;=0),"",(K89-ABS(N($F89)))/$E89)</f>
        <v/>
      </c>
      <c r="AC89" s="26" t="str">
        <f aca="false">IF(OR(L89="",$E89="",N($E89)&lt;=0),"",(L89-ABS(N($F89)))/$E89)</f>
        <v/>
      </c>
      <c r="AD89" s="26" t="str">
        <f aca="false">IF(OR(M89="",$E89="",N($E89)&lt;=0),"",(M89-ABS(N($F89)))/$E89)</f>
        <v/>
      </c>
      <c r="AE89" s="26" t="n">
        <f aca="false">IF(OR(N89="",$E89="",N($E89)&lt;=0),"",(N89-ABS(N($F89)))/$E89)</f>
        <v>3.42066027689031</v>
      </c>
      <c r="AF89" s="26" t="str">
        <f aca="false">IF(OR(O89="",$E89="",N($E89)&lt;=0),"",(O89-ABS(N($F89)))/$E89)</f>
        <v/>
      </c>
      <c r="AG89" s="26" t="str">
        <f aca="false">IF(OR(P89="",$E89="",N($E89)&lt;=0),"",(P89-ABS(N($F89)))/$E89)</f>
        <v/>
      </c>
      <c r="AH89" s="26" t="str">
        <f aca="false">IF(OR(Q89="",$E89="",N($E89)&lt;=0),"",(Q89-ABS(N($F89)))/$E89)</f>
        <v/>
      </c>
      <c r="AI89" s="26" t="str">
        <f aca="false">IF(OR(R89="",$E89="",N($E89)&lt;=0),"",(R89-ABS(N($F89)))/$E89)</f>
        <v/>
      </c>
      <c r="AJ89" s="26" t="str">
        <f aca="false">IF(OR(S89="",$E89="",N($E89)&lt;=0),"",(S89-ABS(N($F89)))/$E89)</f>
        <v/>
      </c>
      <c r="AK89" s="26" t="str">
        <f aca="false">IF(OR(T89="",$E89="",N($E89)&lt;=0),"",(T89-ABS(N($F89)))/$E89)</f>
        <v/>
      </c>
      <c r="AL89" s="26" t="str">
        <f aca="false">IF(OR(U89="",$E89="",N($E89)&lt;=0),"",(U89-ABS(N($F89)))/$E89)</f>
        <v/>
      </c>
      <c r="AM89" s="26" t="str">
        <f aca="false">IF(OR(V89="",$E89="",N($E89)&lt;=0),"",(V89-ABS(N($F89)))/$E89)</f>
        <v/>
      </c>
      <c r="AN89" s="26" t="str">
        <f aca="false">IF(OR(W89="",$E89="",N($E89)&lt;=0),"",(W89-ABS(N($F89)))/$E89)</f>
        <v/>
      </c>
      <c r="AO89" s="26" t="str">
        <f aca="false">IF(OR(X89="",$E89="",N($E89)&lt;=0),"",(X89-ABS(N($F89)))/$E89)</f>
        <v/>
      </c>
      <c r="AP89" s="26" t="str">
        <f aca="false">IF(OR(Y89="",$E89="",N($E89)&lt;=0),"",(Y89-ABS(N($F89)))/$E89)</f>
        <v/>
      </c>
    </row>
    <row r="90" customFormat="false" ht="15" hidden="false" customHeight="true" outlineLevel="0" collapsed="false">
      <c r="A90" s="9" t="s">
        <v>228</v>
      </c>
      <c r="B90" s="11" t="s">
        <v>326</v>
      </c>
      <c r="C90" s="11" t="s">
        <v>327</v>
      </c>
      <c r="D90" s="21" t="n">
        <v>0.551599</v>
      </c>
      <c r="E90" s="22" t="n">
        <v>2.632</v>
      </c>
      <c r="F90" s="22" t="n">
        <v>0.506</v>
      </c>
      <c r="G90" s="23" t="n">
        <v>872</v>
      </c>
      <c r="H90" s="11" t="s">
        <v>333</v>
      </c>
      <c r="I90" s="24" t="n">
        <f aca="false">MATCH(A90,'TEa input'!$A$6:$A$68,0)</f>
        <v>42</v>
      </c>
      <c r="J90" s="25" t="str">
        <f aca="false">IF(INDEX('TEa input'!$E$6:$E$68,$I90)="","",INDEX('TEa input'!$E$6:$E$68,$I90))</f>
        <v/>
      </c>
      <c r="K90" s="25" t="n">
        <f aca="false">IF(INDEX('TEa input'!$G$6:$G$68,$I90)="","",INDEX('TEa input'!$G$6:$G$68,$I90))</f>
        <v>15</v>
      </c>
      <c r="L90" s="25" t="n">
        <f aca="false">IF(INDEX('TEa input'!$I$6:$I$68,$I90)="","",INDEX('TEa input'!$I$6:$I$68,$I90))</f>
        <v>6</v>
      </c>
      <c r="M90" s="25" t="str">
        <f aca="false">IF(INDEX('TEa input'!$K$6:$K$68,$I90)="","",INDEX('TEa input'!$K$6:$K$68,$I90))</f>
        <v/>
      </c>
      <c r="N90" s="25" t="n">
        <f aca="false">IF(INDEX('TEa input'!$M$6:$M$68,$I90)="","",INDEX('TEa input'!$M$6:$M$68,$I90))</f>
        <v>10</v>
      </c>
      <c r="O90" s="25" t="str">
        <f aca="false">IF(INDEX('TEa input'!$O$6:$O$68,$I90)="","",INDEX('TEa input'!$O$6:$O$68,$I90))</f>
        <v/>
      </c>
      <c r="P90" s="25" t="n">
        <f aca="false">IF(INDEX('TEa input'!$Q$6:$Q$68,$I90)="","",INDEX('TEa input'!$Q$6:$Q$68,$I90))</f>
        <v>12</v>
      </c>
      <c r="Q90" s="25" t="str">
        <f aca="false">IF(INDEX('TEa input'!$R$6:$R$68,$I90)="","",INDEX('TEa input'!$R$6:$R$68,$I90))</f>
        <v/>
      </c>
      <c r="R90" s="25" t="str">
        <f aca="false">IF(INDEX('TEa input'!$T$6:$T$68,$I90)="","",INDEX('TEa input'!$T$6:$T$68,$I90))</f>
        <v/>
      </c>
      <c r="S90" s="25" t="str">
        <f aca="false">IF(INDEX('TEa input'!$Y$6:$Y$68,$I90)="","",INDEX('TEa input'!$Y$6:$Y$68,$I90))</f>
        <v/>
      </c>
      <c r="T90" s="25" t="str">
        <f aca="false">IF(INDEX('TEa input'!$Z$6:$Z$68,$I90)="","",INDEX('TEa input'!$Z$6:$Z$68,$I90))</f>
        <v/>
      </c>
      <c r="U90" s="25" t="str">
        <f aca="false">IF(INDEX('TEa input'!$AA$6:$AA$68,$I90)="","",INDEX('TEa input'!$AA$6:$AA$68,$I90))</f>
        <v/>
      </c>
      <c r="V90" s="25" t="str">
        <f aca="false">IF(INDEX('TEa input'!$AB$6:$AB$68,$I90)="","",INDEX('TEa input'!$AB$6:$AB$68,$I90))</f>
        <v/>
      </c>
      <c r="W90" s="25" t="str">
        <f aca="false">IF(INDEX('TEa input'!$AC$6:$AC$68,$I90)="","",INDEX('TEa input'!$AC$6:$AC$68,$I90))</f>
        <v/>
      </c>
      <c r="X90" s="25" t="str">
        <f aca="false">IF(INDEX('TEa input'!$AD$6:$AD$68,$I90)="","",INDEX('TEa input'!$AD$6:$AD$68,$I90))</f>
        <v/>
      </c>
      <c r="Y90" s="25" t="str">
        <f aca="false">IF(INDEX('TEa input'!$AF$6:$AF$68,$I90)="","",INDEX('TEa input'!$AF$6:$AF$68,$I90))</f>
        <v/>
      </c>
      <c r="AA90" s="26" t="str">
        <f aca="false">IF(OR(J90="",$E90="",N($E90)&lt;=0),"",(J90-ABS(N($F90)))/$E90)</f>
        <v/>
      </c>
      <c r="AB90" s="26" t="n">
        <f aca="false">IF(OR(K90="",$E90="",N($E90)&lt;=0),"",(K90-ABS(N($F90)))/$E90)</f>
        <v>5.50683890577508</v>
      </c>
      <c r="AC90" s="26" t="n">
        <f aca="false">IF(OR(L90="",$E90="",N($E90)&lt;=0),"",(L90-ABS(N($F90)))/$E90)</f>
        <v>2.08738601823708</v>
      </c>
      <c r="AD90" s="26" t="str">
        <f aca="false">IF(OR(M90="",$E90="",N($E90)&lt;=0),"",(M90-ABS(N($F90)))/$E90)</f>
        <v/>
      </c>
      <c r="AE90" s="26" t="n">
        <f aca="false">IF(OR(N90="",$E90="",N($E90)&lt;=0),"",(N90-ABS(N($F90)))/$E90)</f>
        <v>3.60714285714286</v>
      </c>
      <c r="AF90" s="26" t="str">
        <f aca="false">IF(OR(O90="",$E90="",N($E90)&lt;=0),"",(O90-ABS(N($F90)))/$E90)</f>
        <v/>
      </c>
      <c r="AG90" s="26" t="n">
        <f aca="false">IF(OR(P90="",$E90="",N($E90)&lt;=0),"",(P90-ABS(N($F90)))/$E90)</f>
        <v>4.36702127659575</v>
      </c>
      <c r="AH90" s="26" t="str">
        <f aca="false">IF(OR(Q90="",$E90="",N($E90)&lt;=0),"",(Q90-ABS(N($F90)))/$E90)</f>
        <v/>
      </c>
      <c r="AI90" s="26" t="str">
        <f aca="false">IF(OR(R90="",$E90="",N($E90)&lt;=0),"",(R90-ABS(N($F90)))/$E90)</f>
        <v/>
      </c>
      <c r="AJ90" s="26" t="str">
        <f aca="false">IF(OR(S90="",$E90="",N($E90)&lt;=0),"",(S90-ABS(N($F90)))/$E90)</f>
        <v/>
      </c>
      <c r="AK90" s="26" t="str">
        <f aca="false">IF(OR(T90="",$E90="",N($E90)&lt;=0),"",(T90-ABS(N($F90)))/$E90)</f>
        <v/>
      </c>
      <c r="AL90" s="26" t="str">
        <f aca="false">IF(OR(U90="",$E90="",N($E90)&lt;=0),"",(U90-ABS(N($F90)))/$E90)</f>
        <v/>
      </c>
      <c r="AM90" s="26" t="str">
        <f aca="false">IF(OR(V90="",$E90="",N($E90)&lt;=0),"",(V90-ABS(N($F90)))/$E90)</f>
        <v/>
      </c>
      <c r="AN90" s="26" t="str">
        <f aca="false">IF(OR(W90="",$E90="",N($E90)&lt;=0),"",(W90-ABS(N($F90)))/$E90)</f>
        <v/>
      </c>
      <c r="AO90" s="26" t="str">
        <f aca="false">IF(OR(X90="",$E90="",N($E90)&lt;=0),"",(X90-ABS(N($F90)))/$E90)</f>
        <v/>
      </c>
      <c r="AP90" s="26" t="str">
        <f aca="false">IF(OR(Y90="",$E90="",N($E90)&lt;=0),"",(Y90-ABS(N($F90)))/$E90)</f>
        <v/>
      </c>
    </row>
    <row r="91" customFormat="false" ht="15" hidden="false" customHeight="true" outlineLevel="0" collapsed="false">
      <c r="A91" s="9" t="s">
        <v>228</v>
      </c>
      <c r="B91" s="11" t="s">
        <v>329</v>
      </c>
      <c r="C91" s="11" t="s">
        <v>330</v>
      </c>
      <c r="D91" s="21" t="n">
        <v>1.58837</v>
      </c>
      <c r="E91" s="22" t="n">
        <v>1.504</v>
      </c>
      <c r="F91" s="22" t="n">
        <v>0.441</v>
      </c>
      <c r="G91" s="23" t="n">
        <v>875</v>
      </c>
      <c r="H91" s="11" t="s">
        <v>331</v>
      </c>
      <c r="I91" s="24" t="n">
        <f aca="false">MATCH(A91,'TEa input'!$A$6:$A$68,0)</f>
        <v>42</v>
      </c>
      <c r="J91" s="25" t="str">
        <f aca="false">IF(INDEX('TEa input'!$E$6:$E$68,$I91)="","",INDEX('TEa input'!$E$6:$E$68,$I91))</f>
        <v/>
      </c>
      <c r="K91" s="25" t="n">
        <f aca="false">IF(INDEX('TEa input'!$G$6:$G$68,$I91)="","",INDEX('TEa input'!$G$6:$G$68,$I91))</f>
        <v>15</v>
      </c>
      <c r="L91" s="25" t="n">
        <f aca="false">IF(INDEX('TEa input'!$I$6:$I$68,$I91)="","",INDEX('TEa input'!$I$6:$I$68,$I91))</f>
        <v>6</v>
      </c>
      <c r="M91" s="25" t="str">
        <f aca="false">IF(INDEX('TEa input'!$K$6:$K$68,$I91)="","",INDEX('TEa input'!$K$6:$K$68,$I91))</f>
        <v/>
      </c>
      <c r="N91" s="25" t="n">
        <f aca="false">IF(INDEX('TEa input'!$M$6:$M$68,$I91)="","",INDEX('TEa input'!$M$6:$M$68,$I91))</f>
        <v>10</v>
      </c>
      <c r="O91" s="25" t="str">
        <f aca="false">IF(INDEX('TEa input'!$O$6:$O$68,$I91)="","",INDEX('TEa input'!$O$6:$O$68,$I91))</f>
        <v/>
      </c>
      <c r="P91" s="25" t="n">
        <f aca="false">IF(INDEX('TEa input'!$Q$6:$Q$68,$I91)="","",INDEX('TEa input'!$Q$6:$Q$68,$I91))</f>
        <v>12</v>
      </c>
      <c r="Q91" s="25" t="str">
        <f aca="false">IF(INDEX('TEa input'!$R$6:$R$68,$I91)="","",INDEX('TEa input'!$R$6:$R$68,$I91))</f>
        <v/>
      </c>
      <c r="R91" s="25" t="str">
        <f aca="false">IF(INDEX('TEa input'!$T$6:$T$68,$I91)="","",INDEX('TEa input'!$T$6:$T$68,$I91))</f>
        <v/>
      </c>
      <c r="S91" s="25" t="str">
        <f aca="false">IF(INDEX('TEa input'!$Y$6:$Y$68,$I91)="","",INDEX('TEa input'!$Y$6:$Y$68,$I91))</f>
        <v/>
      </c>
      <c r="T91" s="25" t="str">
        <f aca="false">IF(INDEX('TEa input'!$Z$6:$Z$68,$I91)="","",INDEX('TEa input'!$Z$6:$Z$68,$I91))</f>
        <v/>
      </c>
      <c r="U91" s="25" t="str">
        <f aca="false">IF(INDEX('TEa input'!$AA$6:$AA$68,$I91)="","",INDEX('TEa input'!$AA$6:$AA$68,$I91))</f>
        <v/>
      </c>
      <c r="V91" s="25" t="str">
        <f aca="false">IF(INDEX('TEa input'!$AB$6:$AB$68,$I91)="","",INDEX('TEa input'!$AB$6:$AB$68,$I91))</f>
        <v/>
      </c>
      <c r="W91" s="25" t="str">
        <f aca="false">IF(INDEX('TEa input'!$AC$6:$AC$68,$I91)="","",INDEX('TEa input'!$AC$6:$AC$68,$I91))</f>
        <v/>
      </c>
      <c r="X91" s="25" t="str">
        <f aca="false">IF(INDEX('TEa input'!$AD$6:$AD$68,$I91)="","",INDEX('TEa input'!$AD$6:$AD$68,$I91))</f>
        <v/>
      </c>
      <c r="Y91" s="25" t="str">
        <f aca="false">IF(INDEX('TEa input'!$AF$6:$AF$68,$I91)="","",INDEX('TEa input'!$AF$6:$AF$68,$I91))</f>
        <v/>
      </c>
      <c r="AA91" s="26" t="str">
        <f aca="false">IF(OR(J91="",$E91="",N($E91)&lt;=0),"",(J91-ABS(N($F91)))/$E91)</f>
        <v/>
      </c>
      <c r="AB91" s="26" t="n">
        <f aca="false">IF(OR(K91="",$E91="",N($E91)&lt;=0),"",(K91-ABS(N($F91)))/$E91)</f>
        <v>9.68018617021277</v>
      </c>
      <c r="AC91" s="26" t="n">
        <f aca="false">IF(OR(L91="",$E91="",N($E91)&lt;=0),"",(L91-ABS(N($F91)))/$E91)</f>
        <v>3.69614361702128</v>
      </c>
      <c r="AD91" s="26" t="str">
        <f aca="false">IF(OR(M91="",$E91="",N($E91)&lt;=0),"",(M91-ABS(N($F91)))/$E91)</f>
        <v/>
      </c>
      <c r="AE91" s="26" t="n">
        <f aca="false">IF(OR(N91="",$E91="",N($E91)&lt;=0),"",(N91-ABS(N($F91)))/$E91)</f>
        <v>6.35571808510638</v>
      </c>
      <c r="AF91" s="26" t="str">
        <f aca="false">IF(OR(O91="",$E91="",N($E91)&lt;=0),"",(O91-ABS(N($F91)))/$E91)</f>
        <v/>
      </c>
      <c r="AG91" s="26" t="n">
        <f aca="false">IF(OR(P91="",$E91="",N($E91)&lt;=0),"",(P91-ABS(N($F91)))/$E91)</f>
        <v>7.68550531914894</v>
      </c>
      <c r="AH91" s="26" t="str">
        <f aca="false">IF(OR(Q91="",$E91="",N($E91)&lt;=0),"",(Q91-ABS(N($F91)))/$E91)</f>
        <v/>
      </c>
      <c r="AI91" s="26" t="str">
        <f aca="false">IF(OR(R91="",$E91="",N($E91)&lt;=0),"",(R91-ABS(N($F91)))/$E91)</f>
        <v/>
      </c>
      <c r="AJ91" s="26" t="str">
        <f aca="false">IF(OR(S91="",$E91="",N($E91)&lt;=0),"",(S91-ABS(N($F91)))/$E91)</f>
        <v/>
      </c>
      <c r="AK91" s="26" t="str">
        <f aca="false">IF(OR(T91="",$E91="",N($E91)&lt;=0),"",(T91-ABS(N($F91)))/$E91)</f>
        <v/>
      </c>
      <c r="AL91" s="26" t="str">
        <f aca="false">IF(OR(U91="",$E91="",N($E91)&lt;=0),"",(U91-ABS(N($F91)))/$E91)</f>
        <v/>
      </c>
      <c r="AM91" s="26" t="str">
        <f aca="false">IF(OR(V91="",$E91="",N($E91)&lt;=0),"",(V91-ABS(N($F91)))/$E91)</f>
        <v/>
      </c>
      <c r="AN91" s="26" t="str">
        <f aca="false">IF(OR(W91="",$E91="",N($E91)&lt;=0),"",(W91-ABS(N($F91)))/$E91)</f>
        <v/>
      </c>
      <c r="AO91" s="26" t="str">
        <f aca="false">IF(OR(X91="",$E91="",N($E91)&lt;=0),"",(X91-ABS(N($F91)))/$E91)</f>
        <v/>
      </c>
      <c r="AP91" s="26" t="str">
        <f aca="false">IF(OR(Y91="",$E91="",N($E91)&lt;=0),"",(Y91-ABS(N($F91)))/$E91)</f>
        <v/>
      </c>
    </row>
    <row r="92" customFormat="false" ht="15" hidden="false" customHeight="true" outlineLevel="0" collapsed="false">
      <c r="A92" s="9" t="s">
        <v>232</v>
      </c>
      <c r="B92" s="11" t="s">
        <v>326</v>
      </c>
      <c r="C92" s="11" t="s">
        <v>350</v>
      </c>
      <c r="D92" s="21" t="n">
        <v>1.79409</v>
      </c>
      <c r="E92" s="22" t="n">
        <v>4.527</v>
      </c>
      <c r="F92" s="22" t="n">
        <v>0.383</v>
      </c>
      <c r="G92" s="23" t="n">
        <v>870</v>
      </c>
      <c r="H92" s="11" t="s">
        <v>340</v>
      </c>
      <c r="I92" s="24" t="n">
        <f aca="false">MATCH(A92,'TEa input'!$A$6:$A$68,0)</f>
        <v>43</v>
      </c>
      <c r="J92" s="25" t="str">
        <f aca="false">IF(INDEX('TEa input'!$E$6:$E$68,$I92)="","",INDEX('TEa input'!$E$6:$E$68,$I92))</f>
        <v/>
      </c>
      <c r="K92" s="25" t="n">
        <f aca="false">IF(INDEX('TEa input'!$G$6:$G$68,$I92)="","",INDEX('TEa input'!$G$6:$G$68,$I92))</f>
        <v>25</v>
      </c>
      <c r="L92" s="25" t="n">
        <f aca="false">IF(INDEX('TEa input'!$I$6:$I$68,$I92)="","",INDEX('TEa input'!$I$6:$I$68,$I92))</f>
        <v>25</v>
      </c>
      <c r="M92" s="25" t="str">
        <f aca="false">IF(INDEX('TEa input'!$K$6:$K$68,$I92)="","",INDEX('TEa input'!$K$6:$K$68,$I92))</f>
        <v/>
      </c>
      <c r="N92" s="25" t="n">
        <f aca="false">IF(INDEX('TEa input'!$M$6:$M$68,$I92)="","",INDEX('TEa input'!$M$6:$M$68,$I92))</f>
        <v>10</v>
      </c>
      <c r="O92" s="25" t="str">
        <f aca="false">IF(INDEX('TEa input'!$O$6:$O$68,$I92)="","",INDEX('TEa input'!$O$6:$O$68,$I92))</f>
        <v/>
      </c>
      <c r="P92" s="25" t="str">
        <f aca="false">IF(INDEX('TEa input'!$Q$6:$Q$68,$I92)="","",INDEX('TEa input'!$Q$6:$Q$68,$I92))</f>
        <v/>
      </c>
      <c r="Q92" s="25" t="str">
        <f aca="false">IF(INDEX('TEa input'!$R$6:$R$68,$I92)="","",INDEX('TEa input'!$R$6:$R$68,$I92))</f>
        <v/>
      </c>
      <c r="R92" s="25" t="str">
        <f aca="false">IF(INDEX('TEa input'!$T$6:$T$68,$I92)="","",INDEX('TEa input'!$T$6:$T$68,$I92))</f>
        <v/>
      </c>
      <c r="S92" s="25" t="str">
        <f aca="false">IF(INDEX('TEa input'!$Y$6:$Y$68,$I92)="","",INDEX('TEa input'!$Y$6:$Y$68,$I92))</f>
        <v/>
      </c>
      <c r="T92" s="25" t="str">
        <f aca="false">IF(INDEX('TEa input'!$Z$6:$Z$68,$I92)="","",INDEX('TEa input'!$Z$6:$Z$68,$I92))</f>
        <v/>
      </c>
      <c r="U92" s="25" t="str">
        <f aca="false">IF(INDEX('TEa input'!$AA$6:$AA$68,$I92)="","",INDEX('TEa input'!$AA$6:$AA$68,$I92))</f>
        <v/>
      </c>
      <c r="V92" s="25" t="str">
        <f aca="false">IF(INDEX('TEa input'!$AB$6:$AB$68,$I92)="","",INDEX('TEa input'!$AB$6:$AB$68,$I92))</f>
        <v/>
      </c>
      <c r="W92" s="25" t="str">
        <f aca="false">IF(INDEX('TEa input'!$AC$6:$AC$68,$I92)="","",INDEX('TEa input'!$AC$6:$AC$68,$I92))</f>
        <v/>
      </c>
      <c r="X92" s="25" t="str">
        <f aca="false">IF(INDEX('TEa input'!$AD$6:$AD$68,$I92)="","",INDEX('TEa input'!$AD$6:$AD$68,$I92))</f>
        <v/>
      </c>
      <c r="Y92" s="25" t="str">
        <f aca="false">IF(INDEX('TEa input'!$AF$6:$AF$68,$I92)="","",INDEX('TEa input'!$AF$6:$AF$68,$I92))</f>
        <v/>
      </c>
      <c r="AA92" s="26" t="str">
        <f aca="false">IF(OR(J92="",$E92="",N($E92)&lt;=0),"",(J92-ABS(N($F92)))/$E92)</f>
        <v/>
      </c>
      <c r="AB92" s="26" t="n">
        <f aca="false">IF(OR(K92="",$E92="",N($E92)&lt;=0),"",(K92-ABS(N($F92)))/$E92)</f>
        <v>5.43781753920919</v>
      </c>
      <c r="AC92" s="26" t="n">
        <f aca="false">IF(OR(L92="",$E92="",N($E92)&lt;=0),"",(L92-ABS(N($F92)))/$E92)</f>
        <v>5.43781753920919</v>
      </c>
      <c r="AD92" s="26" t="str">
        <f aca="false">IF(OR(M92="",$E92="",N($E92)&lt;=0),"",(M92-ABS(N($F92)))/$E92)</f>
        <v/>
      </c>
      <c r="AE92" s="26" t="n">
        <f aca="false">IF(OR(N92="",$E92="",N($E92)&lt;=0),"",(N92-ABS(N($F92)))/$E92)</f>
        <v>2.12436492158162</v>
      </c>
      <c r="AF92" s="26" t="str">
        <f aca="false">IF(OR(O92="",$E92="",N($E92)&lt;=0),"",(O92-ABS(N($F92)))/$E92)</f>
        <v/>
      </c>
      <c r="AG92" s="26" t="str">
        <f aca="false">IF(OR(P92="",$E92="",N($E92)&lt;=0),"",(P92-ABS(N($F92)))/$E92)</f>
        <v/>
      </c>
      <c r="AH92" s="26" t="str">
        <f aca="false">IF(OR(Q92="",$E92="",N($E92)&lt;=0),"",(Q92-ABS(N($F92)))/$E92)</f>
        <v/>
      </c>
      <c r="AI92" s="26" t="str">
        <f aca="false">IF(OR(R92="",$E92="",N($E92)&lt;=0),"",(R92-ABS(N($F92)))/$E92)</f>
        <v/>
      </c>
      <c r="AJ92" s="26" t="str">
        <f aca="false">IF(OR(S92="",$E92="",N($E92)&lt;=0),"",(S92-ABS(N($F92)))/$E92)</f>
        <v/>
      </c>
      <c r="AK92" s="26" t="str">
        <f aca="false">IF(OR(T92="",$E92="",N($E92)&lt;=0),"",(T92-ABS(N($F92)))/$E92)</f>
        <v/>
      </c>
      <c r="AL92" s="26" t="str">
        <f aca="false">IF(OR(U92="",$E92="",N($E92)&lt;=0),"",(U92-ABS(N($F92)))/$E92)</f>
        <v/>
      </c>
      <c r="AM92" s="26" t="str">
        <f aca="false">IF(OR(V92="",$E92="",N($E92)&lt;=0),"",(V92-ABS(N($F92)))/$E92)</f>
        <v/>
      </c>
      <c r="AN92" s="26" t="str">
        <f aca="false">IF(OR(W92="",$E92="",N($E92)&lt;=0),"",(W92-ABS(N($F92)))/$E92)</f>
        <v/>
      </c>
      <c r="AO92" s="26" t="str">
        <f aca="false">IF(OR(X92="",$E92="",N($E92)&lt;=0),"",(X92-ABS(N($F92)))/$E92)</f>
        <v/>
      </c>
      <c r="AP92" s="26" t="str">
        <f aca="false">IF(OR(Y92="",$E92="",N($E92)&lt;=0),"",(Y92-ABS(N($F92)))/$E92)</f>
        <v/>
      </c>
    </row>
    <row r="93" customFormat="false" ht="15" hidden="false" customHeight="true" outlineLevel="0" collapsed="false">
      <c r="A93" s="9" t="s">
        <v>232</v>
      </c>
      <c r="B93" s="11" t="s">
        <v>329</v>
      </c>
      <c r="C93" s="11" t="s">
        <v>351</v>
      </c>
      <c r="D93" s="21" t="n">
        <v>4.61804</v>
      </c>
      <c r="E93" s="22" t="n">
        <v>3.127</v>
      </c>
      <c r="F93" s="22" t="n">
        <v>0.042</v>
      </c>
      <c r="G93" s="23" t="n">
        <v>884</v>
      </c>
      <c r="H93" s="11" t="s">
        <v>331</v>
      </c>
      <c r="I93" s="24" t="n">
        <f aca="false">MATCH(A93,'TEa input'!$A$6:$A$68,0)</f>
        <v>43</v>
      </c>
      <c r="J93" s="25" t="str">
        <f aca="false">IF(INDEX('TEa input'!$E$6:$E$68,$I93)="","",INDEX('TEa input'!$E$6:$E$68,$I93))</f>
        <v/>
      </c>
      <c r="K93" s="25" t="n">
        <f aca="false">IF(INDEX('TEa input'!$G$6:$G$68,$I93)="","",INDEX('TEa input'!$G$6:$G$68,$I93))</f>
        <v>25</v>
      </c>
      <c r="L93" s="25" t="n">
        <f aca="false">IF(INDEX('TEa input'!$I$6:$I$68,$I93)="","",INDEX('TEa input'!$I$6:$I$68,$I93))</f>
        <v>25</v>
      </c>
      <c r="M93" s="25" t="str">
        <f aca="false">IF(INDEX('TEa input'!$K$6:$K$68,$I93)="","",INDEX('TEa input'!$K$6:$K$68,$I93))</f>
        <v/>
      </c>
      <c r="N93" s="25" t="n">
        <f aca="false">IF(INDEX('TEa input'!$M$6:$M$68,$I93)="","",INDEX('TEa input'!$M$6:$M$68,$I93))</f>
        <v>10</v>
      </c>
      <c r="O93" s="25" t="str">
        <f aca="false">IF(INDEX('TEa input'!$O$6:$O$68,$I93)="","",INDEX('TEa input'!$O$6:$O$68,$I93))</f>
        <v/>
      </c>
      <c r="P93" s="25" t="str">
        <f aca="false">IF(INDEX('TEa input'!$Q$6:$Q$68,$I93)="","",INDEX('TEa input'!$Q$6:$Q$68,$I93))</f>
        <v/>
      </c>
      <c r="Q93" s="25" t="str">
        <f aca="false">IF(INDEX('TEa input'!$R$6:$R$68,$I93)="","",INDEX('TEa input'!$R$6:$R$68,$I93))</f>
        <v/>
      </c>
      <c r="R93" s="25" t="str">
        <f aca="false">IF(INDEX('TEa input'!$T$6:$T$68,$I93)="","",INDEX('TEa input'!$T$6:$T$68,$I93))</f>
        <v/>
      </c>
      <c r="S93" s="25" t="str">
        <f aca="false">IF(INDEX('TEa input'!$Y$6:$Y$68,$I93)="","",INDEX('TEa input'!$Y$6:$Y$68,$I93))</f>
        <v/>
      </c>
      <c r="T93" s="25" t="str">
        <f aca="false">IF(INDEX('TEa input'!$Z$6:$Z$68,$I93)="","",INDEX('TEa input'!$Z$6:$Z$68,$I93))</f>
        <v/>
      </c>
      <c r="U93" s="25" t="str">
        <f aca="false">IF(INDEX('TEa input'!$AA$6:$AA$68,$I93)="","",INDEX('TEa input'!$AA$6:$AA$68,$I93))</f>
        <v/>
      </c>
      <c r="V93" s="25" t="str">
        <f aca="false">IF(INDEX('TEa input'!$AB$6:$AB$68,$I93)="","",INDEX('TEa input'!$AB$6:$AB$68,$I93))</f>
        <v/>
      </c>
      <c r="W93" s="25" t="str">
        <f aca="false">IF(INDEX('TEa input'!$AC$6:$AC$68,$I93)="","",INDEX('TEa input'!$AC$6:$AC$68,$I93))</f>
        <v/>
      </c>
      <c r="X93" s="25" t="str">
        <f aca="false">IF(INDEX('TEa input'!$AD$6:$AD$68,$I93)="","",INDEX('TEa input'!$AD$6:$AD$68,$I93))</f>
        <v/>
      </c>
      <c r="Y93" s="25" t="str">
        <f aca="false">IF(INDEX('TEa input'!$AF$6:$AF$68,$I93)="","",INDEX('TEa input'!$AF$6:$AF$68,$I93))</f>
        <v/>
      </c>
      <c r="AA93" s="26" t="str">
        <f aca="false">IF(OR(J93="",$E93="",N($E93)&lt;=0),"",(J93-ABS(N($F93)))/$E93)</f>
        <v/>
      </c>
      <c r="AB93" s="26" t="n">
        <f aca="false">IF(OR(K93="",$E93="",N($E93)&lt;=0),"",(K93-ABS(N($F93)))/$E93)</f>
        <v>7.98145187080269</v>
      </c>
      <c r="AC93" s="26" t="n">
        <f aca="false">IF(OR(L93="",$E93="",N($E93)&lt;=0),"",(L93-ABS(N($F93)))/$E93)</f>
        <v>7.98145187080269</v>
      </c>
      <c r="AD93" s="26" t="str">
        <f aca="false">IF(OR(M93="",$E93="",N($E93)&lt;=0),"",(M93-ABS(N($F93)))/$E93)</f>
        <v/>
      </c>
      <c r="AE93" s="26" t="n">
        <f aca="false">IF(OR(N93="",$E93="",N($E93)&lt;=0),"",(N93-ABS(N($F93)))/$E93)</f>
        <v>3.18452190598017</v>
      </c>
      <c r="AF93" s="26" t="str">
        <f aca="false">IF(OR(O93="",$E93="",N($E93)&lt;=0),"",(O93-ABS(N($F93)))/$E93)</f>
        <v/>
      </c>
      <c r="AG93" s="26" t="str">
        <f aca="false">IF(OR(P93="",$E93="",N($E93)&lt;=0),"",(P93-ABS(N($F93)))/$E93)</f>
        <v/>
      </c>
      <c r="AH93" s="26" t="str">
        <f aca="false">IF(OR(Q93="",$E93="",N($E93)&lt;=0),"",(Q93-ABS(N($F93)))/$E93)</f>
        <v/>
      </c>
      <c r="AI93" s="26" t="str">
        <f aca="false">IF(OR(R93="",$E93="",N($E93)&lt;=0),"",(R93-ABS(N($F93)))/$E93)</f>
        <v/>
      </c>
      <c r="AJ93" s="26" t="str">
        <f aca="false">IF(OR(S93="",$E93="",N($E93)&lt;=0),"",(S93-ABS(N($F93)))/$E93)</f>
        <v/>
      </c>
      <c r="AK93" s="26" t="str">
        <f aca="false">IF(OR(T93="",$E93="",N($E93)&lt;=0),"",(T93-ABS(N($F93)))/$E93)</f>
        <v/>
      </c>
      <c r="AL93" s="26" t="str">
        <f aca="false">IF(OR(U93="",$E93="",N($E93)&lt;=0),"",(U93-ABS(N($F93)))/$E93)</f>
        <v/>
      </c>
      <c r="AM93" s="26" t="str">
        <f aca="false">IF(OR(V93="",$E93="",N($E93)&lt;=0),"",(V93-ABS(N($F93)))/$E93)</f>
        <v/>
      </c>
      <c r="AN93" s="26" t="str">
        <f aca="false">IF(OR(W93="",$E93="",N($E93)&lt;=0),"",(W93-ABS(N($F93)))/$E93)</f>
        <v/>
      </c>
      <c r="AO93" s="26" t="str">
        <f aca="false">IF(OR(X93="",$E93="",N($E93)&lt;=0),"",(X93-ABS(N($F93)))/$E93)</f>
        <v/>
      </c>
      <c r="AP93" s="26" t="str">
        <f aca="false">IF(OR(Y93="",$E93="",N($E93)&lt;=0),"",(Y93-ABS(N($F93)))/$E93)</f>
        <v/>
      </c>
    </row>
    <row r="94" customFormat="false" ht="15" hidden="false" customHeight="true" outlineLevel="0" collapsed="false">
      <c r="A94" s="9" t="s">
        <v>232</v>
      </c>
      <c r="B94" s="11" t="s">
        <v>341</v>
      </c>
      <c r="C94" s="11" t="s">
        <v>352</v>
      </c>
      <c r="D94" s="21" t="n">
        <v>7.44974</v>
      </c>
      <c r="E94" s="22" t="n">
        <v>2.956</v>
      </c>
      <c r="F94" s="22" t="n">
        <v>0.745</v>
      </c>
      <c r="G94" s="23" t="n">
        <v>891</v>
      </c>
      <c r="H94" s="11" t="s">
        <v>340</v>
      </c>
      <c r="I94" s="24" t="n">
        <f aca="false">MATCH(A94,'TEa input'!$A$6:$A$68,0)</f>
        <v>43</v>
      </c>
      <c r="J94" s="25" t="str">
        <f aca="false">IF(INDEX('TEa input'!$E$6:$E$68,$I94)="","",INDEX('TEa input'!$E$6:$E$68,$I94))</f>
        <v/>
      </c>
      <c r="K94" s="25" t="n">
        <f aca="false">IF(INDEX('TEa input'!$G$6:$G$68,$I94)="","",INDEX('TEa input'!$G$6:$G$68,$I94))</f>
        <v>25</v>
      </c>
      <c r="L94" s="25" t="n">
        <f aca="false">IF(INDEX('TEa input'!$I$6:$I$68,$I94)="","",INDEX('TEa input'!$I$6:$I$68,$I94))</f>
        <v>25</v>
      </c>
      <c r="M94" s="25" t="str">
        <f aca="false">IF(INDEX('TEa input'!$K$6:$K$68,$I94)="","",INDEX('TEa input'!$K$6:$K$68,$I94))</f>
        <v/>
      </c>
      <c r="N94" s="25" t="n">
        <f aca="false">IF(INDEX('TEa input'!$M$6:$M$68,$I94)="","",INDEX('TEa input'!$M$6:$M$68,$I94))</f>
        <v>10</v>
      </c>
      <c r="O94" s="25" t="str">
        <f aca="false">IF(INDEX('TEa input'!$O$6:$O$68,$I94)="","",INDEX('TEa input'!$O$6:$O$68,$I94))</f>
        <v/>
      </c>
      <c r="P94" s="25" t="str">
        <f aca="false">IF(INDEX('TEa input'!$Q$6:$Q$68,$I94)="","",INDEX('TEa input'!$Q$6:$Q$68,$I94))</f>
        <v/>
      </c>
      <c r="Q94" s="25" t="str">
        <f aca="false">IF(INDEX('TEa input'!$R$6:$R$68,$I94)="","",INDEX('TEa input'!$R$6:$R$68,$I94))</f>
        <v/>
      </c>
      <c r="R94" s="25" t="str">
        <f aca="false">IF(INDEX('TEa input'!$T$6:$T$68,$I94)="","",INDEX('TEa input'!$T$6:$T$68,$I94))</f>
        <v/>
      </c>
      <c r="S94" s="25" t="str">
        <f aca="false">IF(INDEX('TEa input'!$Y$6:$Y$68,$I94)="","",INDEX('TEa input'!$Y$6:$Y$68,$I94))</f>
        <v/>
      </c>
      <c r="T94" s="25" t="str">
        <f aca="false">IF(INDEX('TEa input'!$Z$6:$Z$68,$I94)="","",INDEX('TEa input'!$Z$6:$Z$68,$I94))</f>
        <v/>
      </c>
      <c r="U94" s="25" t="str">
        <f aca="false">IF(INDEX('TEa input'!$AA$6:$AA$68,$I94)="","",INDEX('TEa input'!$AA$6:$AA$68,$I94))</f>
        <v/>
      </c>
      <c r="V94" s="25" t="str">
        <f aca="false">IF(INDEX('TEa input'!$AB$6:$AB$68,$I94)="","",INDEX('TEa input'!$AB$6:$AB$68,$I94))</f>
        <v/>
      </c>
      <c r="W94" s="25" t="str">
        <f aca="false">IF(INDEX('TEa input'!$AC$6:$AC$68,$I94)="","",INDEX('TEa input'!$AC$6:$AC$68,$I94))</f>
        <v/>
      </c>
      <c r="X94" s="25" t="str">
        <f aca="false">IF(INDEX('TEa input'!$AD$6:$AD$68,$I94)="","",INDEX('TEa input'!$AD$6:$AD$68,$I94))</f>
        <v/>
      </c>
      <c r="Y94" s="25" t="str">
        <f aca="false">IF(INDEX('TEa input'!$AF$6:$AF$68,$I94)="","",INDEX('TEa input'!$AF$6:$AF$68,$I94))</f>
        <v/>
      </c>
      <c r="AA94" s="26" t="str">
        <f aca="false">IF(OR(J94="",$E94="",N($E94)&lt;=0),"",(J94-ABS(N($F94)))/$E94)</f>
        <v/>
      </c>
      <c r="AB94" s="26" t="n">
        <f aca="false">IF(OR(K94="",$E94="",N($E94)&lt;=0),"",(K94-ABS(N($F94)))/$E94)</f>
        <v>8.2053450608931</v>
      </c>
      <c r="AC94" s="26" t="n">
        <f aca="false">IF(OR(L94="",$E94="",N($E94)&lt;=0),"",(L94-ABS(N($F94)))/$E94)</f>
        <v>8.2053450608931</v>
      </c>
      <c r="AD94" s="26" t="str">
        <f aca="false">IF(OR(M94="",$E94="",N($E94)&lt;=0),"",(M94-ABS(N($F94)))/$E94)</f>
        <v/>
      </c>
      <c r="AE94" s="26" t="n">
        <f aca="false">IF(OR(N94="",$E94="",N($E94)&lt;=0),"",(N94-ABS(N($F94)))/$E94)</f>
        <v>3.1309201623816</v>
      </c>
      <c r="AF94" s="26" t="str">
        <f aca="false">IF(OR(O94="",$E94="",N($E94)&lt;=0),"",(O94-ABS(N($F94)))/$E94)</f>
        <v/>
      </c>
      <c r="AG94" s="26" t="str">
        <f aca="false">IF(OR(P94="",$E94="",N($E94)&lt;=0),"",(P94-ABS(N($F94)))/$E94)</f>
        <v/>
      </c>
      <c r="AH94" s="26" t="str">
        <f aca="false">IF(OR(Q94="",$E94="",N($E94)&lt;=0),"",(Q94-ABS(N($F94)))/$E94)</f>
        <v/>
      </c>
      <c r="AI94" s="26" t="str">
        <f aca="false">IF(OR(R94="",$E94="",N($E94)&lt;=0),"",(R94-ABS(N($F94)))/$E94)</f>
        <v/>
      </c>
      <c r="AJ94" s="26" t="str">
        <f aca="false">IF(OR(S94="",$E94="",N($E94)&lt;=0),"",(S94-ABS(N($F94)))/$E94)</f>
        <v/>
      </c>
      <c r="AK94" s="26" t="str">
        <f aca="false">IF(OR(T94="",$E94="",N($E94)&lt;=0),"",(T94-ABS(N($F94)))/$E94)</f>
        <v/>
      </c>
      <c r="AL94" s="26" t="str">
        <f aca="false">IF(OR(U94="",$E94="",N($E94)&lt;=0),"",(U94-ABS(N($F94)))/$E94)</f>
        <v/>
      </c>
      <c r="AM94" s="26" t="str">
        <f aca="false">IF(OR(V94="",$E94="",N($E94)&lt;=0),"",(V94-ABS(N($F94)))/$E94)</f>
        <v/>
      </c>
      <c r="AN94" s="26" t="str">
        <f aca="false">IF(OR(W94="",$E94="",N($E94)&lt;=0),"",(W94-ABS(N($F94)))/$E94)</f>
        <v/>
      </c>
      <c r="AO94" s="26" t="str">
        <f aca="false">IF(OR(X94="",$E94="",N($E94)&lt;=0),"",(X94-ABS(N($F94)))/$E94)</f>
        <v/>
      </c>
      <c r="AP94" s="26" t="str">
        <f aca="false">IF(OR(Y94="",$E94="",N($E94)&lt;=0),"",(Y94-ABS(N($F94)))/$E94)</f>
        <v/>
      </c>
    </row>
    <row r="95" customFormat="false" ht="15" hidden="false" customHeight="true" outlineLevel="0" collapsed="false">
      <c r="A95" s="9" t="s">
        <v>235</v>
      </c>
      <c r="B95" s="11" t="s">
        <v>326</v>
      </c>
      <c r="C95" s="11" t="s">
        <v>350</v>
      </c>
      <c r="D95" s="21" t="n">
        <v>7.01739</v>
      </c>
      <c r="E95" s="22" t="n">
        <v>3.954</v>
      </c>
      <c r="F95" s="22" t="n">
        <v>0.092</v>
      </c>
      <c r="G95" s="23" t="n">
        <v>907</v>
      </c>
      <c r="H95" s="11" t="s">
        <v>331</v>
      </c>
      <c r="I95" s="24" t="n">
        <f aca="false">MATCH(A95,'TEa input'!$A$6:$A$68,0)</f>
        <v>44</v>
      </c>
      <c r="J95" s="25" t="str">
        <f aca="false">IF(INDEX('TEa input'!$E$6:$E$68,$I95)="","",INDEX('TEa input'!$E$6:$E$68,$I95))</f>
        <v/>
      </c>
      <c r="K95" s="25" t="n">
        <f aca="false">IF(INDEX('TEa input'!$G$6:$G$68,$I95)="","",INDEX('TEa input'!$G$6:$G$68,$I95))</f>
        <v>15</v>
      </c>
      <c r="L95" s="25" t="n">
        <f aca="false">IF(INDEX('TEa input'!$I$6:$I$68,$I95)="","",INDEX('TEa input'!$I$6:$I$68,$I95))</f>
        <v>12</v>
      </c>
      <c r="M95" s="25" t="str">
        <f aca="false">IF(INDEX('TEa input'!$K$6:$K$68,$I95)="","",INDEX('TEa input'!$K$6:$K$68,$I95))</f>
        <v/>
      </c>
      <c r="N95" s="25" t="n">
        <f aca="false">IF(INDEX('TEa input'!$M$6:$M$68,$I95)="","",INDEX('TEa input'!$M$6:$M$68,$I95))</f>
        <v>10</v>
      </c>
      <c r="O95" s="25" t="str">
        <f aca="false">IF(INDEX('TEa input'!$O$6:$O$68,$I95)="","",INDEX('TEa input'!$O$6:$O$68,$I95))</f>
        <v/>
      </c>
      <c r="P95" s="25" t="str">
        <f aca="false">IF(INDEX('TEa input'!$Q$6:$Q$68,$I95)="","",INDEX('TEa input'!$Q$6:$Q$68,$I95))</f>
        <v/>
      </c>
      <c r="Q95" s="25" t="str">
        <f aca="false">IF(INDEX('TEa input'!$R$6:$R$68,$I95)="","",INDEX('TEa input'!$R$6:$R$68,$I95))</f>
        <v/>
      </c>
      <c r="R95" s="25" t="str">
        <f aca="false">IF(INDEX('TEa input'!$T$6:$T$68,$I95)="","",INDEX('TEa input'!$T$6:$T$68,$I95))</f>
        <v/>
      </c>
      <c r="S95" s="25" t="str">
        <f aca="false">IF(INDEX('TEa input'!$Y$6:$Y$68,$I95)="","",INDEX('TEa input'!$Y$6:$Y$68,$I95))</f>
        <v/>
      </c>
      <c r="T95" s="25" t="str">
        <f aca="false">IF(INDEX('TEa input'!$Z$6:$Z$68,$I95)="","",INDEX('TEa input'!$Z$6:$Z$68,$I95))</f>
        <v/>
      </c>
      <c r="U95" s="25" t="str">
        <f aca="false">IF(INDEX('TEa input'!$AA$6:$AA$68,$I95)="","",INDEX('TEa input'!$AA$6:$AA$68,$I95))</f>
        <v/>
      </c>
      <c r="V95" s="25" t="str">
        <f aca="false">IF(INDEX('TEa input'!$AB$6:$AB$68,$I95)="","",INDEX('TEa input'!$AB$6:$AB$68,$I95))</f>
        <v/>
      </c>
      <c r="W95" s="25" t="str">
        <f aca="false">IF(INDEX('TEa input'!$AC$6:$AC$68,$I95)="","",INDEX('TEa input'!$AC$6:$AC$68,$I95))</f>
        <v/>
      </c>
      <c r="X95" s="25" t="str">
        <f aca="false">IF(INDEX('TEa input'!$AD$6:$AD$68,$I95)="","",INDEX('TEa input'!$AD$6:$AD$68,$I95))</f>
        <v/>
      </c>
      <c r="Y95" s="25" t="str">
        <f aca="false">IF(INDEX('TEa input'!$AF$6:$AF$68,$I95)="","",INDEX('TEa input'!$AF$6:$AF$68,$I95))</f>
        <v/>
      </c>
      <c r="AA95" s="26" t="str">
        <f aca="false">IF(OR(J95="",$E95="",N($E95)&lt;=0),"",(J95-ABS(N($F95)))/$E95)</f>
        <v/>
      </c>
      <c r="AB95" s="26" t="n">
        <f aca="false">IF(OR(K95="",$E95="",N($E95)&lt;=0),"",(K95-ABS(N($F95)))/$E95)</f>
        <v>3.77035912999494</v>
      </c>
      <c r="AC95" s="26" t="n">
        <f aca="false">IF(OR(L95="",$E95="",N($E95)&lt;=0),"",(L95-ABS(N($F95)))/$E95)</f>
        <v>3.01163378856854</v>
      </c>
      <c r="AD95" s="26" t="str">
        <f aca="false">IF(OR(M95="",$E95="",N($E95)&lt;=0),"",(M95-ABS(N($F95)))/$E95)</f>
        <v/>
      </c>
      <c r="AE95" s="26" t="n">
        <f aca="false">IF(OR(N95="",$E95="",N($E95)&lt;=0),"",(N95-ABS(N($F95)))/$E95)</f>
        <v>2.50581689428427</v>
      </c>
      <c r="AF95" s="26" t="str">
        <f aca="false">IF(OR(O95="",$E95="",N($E95)&lt;=0),"",(O95-ABS(N($F95)))/$E95)</f>
        <v/>
      </c>
      <c r="AG95" s="26" t="str">
        <f aca="false">IF(OR(P95="",$E95="",N($E95)&lt;=0),"",(P95-ABS(N($F95)))/$E95)</f>
        <v/>
      </c>
      <c r="AH95" s="26" t="str">
        <f aca="false">IF(OR(Q95="",$E95="",N($E95)&lt;=0),"",(Q95-ABS(N($F95)))/$E95)</f>
        <v/>
      </c>
      <c r="AI95" s="26" t="str">
        <f aca="false">IF(OR(R95="",$E95="",N($E95)&lt;=0),"",(R95-ABS(N($F95)))/$E95)</f>
        <v/>
      </c>
      <c r="AJ95" s="26" t="str">
        <f aca="false">IF(OR(S95="",$E95="",N($E95)&lt;=0),"",(S95-ABS(N($F95)))/$E95)</f>
        <v/>
      </c>
      <c r="AK95" s="26" t="str">
        <f aca="false">IF(OR(T95="",$E95="",N($E95)&lt;=0),"",(T95-ABS(N($F95)))/$E95)</f>
        <v/>
      </c>
      <c r="AL95" s="26" t="str">
        <f aca="false">IF(OR(U95="",$E95="",N($E95)&lt;=0),"",(U95-ABS(N($F95)))/$E95)</f>
        <v/>
      </c>
      <c r="AM95" s="26" t="str">
        <f aca="false">IF(OR(V95="",$E95="",N($E95)&lt;=0),"",(V95-ABS(N($F95)))/$E95)</f>
        <v/>
      </c>
      <c r="AN95" s="26" t="str">
        <f aca="false">IF(OR(W95="",$E95="",N($E95)&lt;=0),"",(W95-ABS(N($F95)))/$E95)</f>
        <v/>
      </c>
      <c r="AO95" s="26" t="str">
        <f aca="false">IF(OR(X95="",$E95="",N($E95)&lt;=0),"",(X95-ABS(N($F95)))/$E95)</f>
        <v/>
      </c>
      <c r="AP95" s="26" t="str">
        <f aca="false">IF(OR(Y95="",$E95="",N($E95)&lt;=0),"",(Y95-ABS(N($F95)))/$E95)</f>
        <v/>
      </c>
    </row>
    <row r="96" customFormat="false" ht="15" hidden="false" customHeight="true" outlineLevel="0" collapsed="false">
      <c r="A96" s="9" t="s">
        <v>235</v>
      </c>
      <c r="B96" s="11" t="s">
        <v>329</v>
      </c>
      <c r="C96" s="11" t="s">
        <v>351</v>
      </c>
      <c r="D96" s="21" t="n">
        <v>20.581</v>
      </c>
      <c r="E96" s="22" t="n">
        <v>2.589</v>
      </c>
      <c r="F96" s="22" t="n">
        <v>0.483</v>
      </c>
      <c r="G96" s="23" t="n">
        <v>913</v>
      </c>
      <c r="H96" s="11" t="s">
        <v>331</v>
      </c>
      <c r="I96" s="24" t="n">
        <f aca="false">MATCH(A96,'TEa input'!$A$6:$A$68,0)</f>
        <v>44</v>
      </c>
      <c r="J96" s="25" t="str">
        <f aca="false">IF(INDEX('TEa input'!$E$6:$E$68,$I96)="","",INDEX('TEa input'!$E$6:$E$68,$I96))</f>
        <v/>
      </c>
      <c r="K96" s="25" t="n">
        <f aca="false">IF(INDEX('TEa input'!$G$6:$G$68,$I96)="","",INDEX('TEa input'!$G$6:$G$68,$I96))</f>
        <v>15</v>
      </c>
      <c r="L96" s="25" t="n">
        <f aca="false">IF(INDEX('TEa input'!$I$6:$I$68,$I96)="","",INDEX('TEa input'!$I$6:$I$68,$I96))</f>
        <v>12</v>
      </c>
      <c r="M96" s="25" t="str">
        <f aca="false">IF(INDEX('TEa input'!$K$6:$K$68,$I96)="","",INDEX('TEa input'!$K$6:$K$68,$I96))</f>
        <v/>
      </c>
      <c r="N96" s="25" t="n">
        <f aca="false">IF(INDEX('TEa input'!$M$6:$M$68,$I96)="","",INDEX('TEa input'!$M$6:$M$68,$I96))</f>
        <v>10</v>
      </c>
      <c r="O96" s="25" t="str">
        <f aca="false">IF(INDEX('TEa input'!$O$6:$O$68,$I96)="","",INDEX('TEa input'!$O$6:$O$68,$I96))</f>
        <v/>
      </c>
      <c r="P96" s="25" t="str">
        <f aca="false">IF(INDEX('TEa input'!$Q$6:$Q$68,$I96)="","",INDEX('TEa input'!$Q$6:$Q$68,$I96))</f>
        <v/>
      </c>
      <c r="Q96" s="25" t="str">
        <f aca="false">IF(INDEX('TEa input'!$R$6:$R$68,$I96)="","",INDEX('TEa input'!$R$6:$R$68,$I96))</f>
        <v/>
      </c>
      <c r="R96" s="25" t="str">
        <f aca="false">IF(INDEX('TEa input'!$T$6:$T$68,$I96)="","",INDEX('TEa input'!$T$6:$T$68,$I96))</f>
        <v/>
      </c>
      <c r="S96" s="25" t="str">
        <f aca="false">IF(INDEX('TEa input'!$Y$6:$Y$68,$I96)="","",INDEX('TEa input'!$Y$6:$Y$68,$I96))</f>
        <v/>
      </c>
      <c r="T96" s="25" t="str">
        <f aca="false">IF(INDEX('TEa input'!$Z$6:$Z$68,$I96)="","",INDEX('TEa input'!$Z$6:$Z$68,$I96))</f>
        <v/>
      </c>
      <c r="U96" s="25" t="str">
        <f aca="false">IF(INDEX('TEa input'!$AA$6:$AA$68,$I96)="","",INDEX('TEa input'!$AA$6:$AA$68,$I96))</f>
        <v/>
      </c>
      <c r="V96" s="25" t="str">
        <f aca="false">IF(INDEX('TEa input'!$AB$6:$AB$68,$I96)="","",INDEX('TEa input'!$AB$6:$AB$68,$I96))</f>
        <v/>
      </c>
      <c r="W96" s="25" t="str">
        <f aca="false">IF(INDEX('TEa input'!$AC$6:$AC$68,$I96)="","",INDEX('TEa input'!$AC$6:$AC$68,$I96))</f>
        <v/>
      </c>
      <c r="X96" s="25" t="str">
        <f aca="false">IF(INDEX('TEa input'!$AD$6:$AD$68,$I96)="","",INDEX('TEa input'!$AD$6:$AD$68,$I96))</f>
        <v/>
      </c>
      <c r="Y96" s="25" t="str">
        <f aca="false">IF(INDEX('TEa input'!$AF$6:$AF$68,$I96)="","",INDEX('TEa input'!$AF$6:$AF$68,$I96))</f>
        <v/>
      </c>
      <c r="AA96" s="26" t="str">
        <f aca="false">IF(OR(J96="",$E96="",N($E96)&lt;=0),"",(J96-ABS(N($F96)))/$E96)</f>
        <v/>
      </c>
      <c r="AB96" s="26" t="n">
        <f aca="false">IF(OR(K96="",$E96="",N($E96)&lt;=0),"",(K96-ABS(N($F96)))/$E96)</f>
        <v>5.6071842410197</v>
      </c>
      <c r="AC96" s="26" t="n">
        <f aca="false">IF(OR(L96="",$E96="",N($E96)&lt;=0),"",(L96-ABS(N($F96)))/$E96)</f>
        <v>4.44843568945539</v>
      </c>
      <c r="AD96" s="26" t="str">
        <f aca="false">IF(OR(M96="",$E96="",N($E96)&lt;=0),"",(M96-ABS(N($F96)))/$E96)</f>
        <v/>
      </c>
      <c r="AE96" s="26" t="n">
        <f aca="false">IF(OR(N96="",$E96="",N($E96)&lt;=0),"",(N96-ABS(N($F96)))/$E96)</f>
        <v>3.67593665507918</v>
      </c>
      <c r="AF96" s="26" t="str">
        <f aca="false">IF(OR(O96="",$E96="",N($E96)&lt;=0),"",(O96-ABS(N($F96)))/$E96)</f>
        <v/>
      </c>
      <c r="AG96" s="26" t="str">
        <f aca="false">IF(OR(P96="",$E96="",N($E96)&lt;=0),"",(P96-ABS(N($F96)))/$E96)</f>
        <v/>
      </c>
      <c r="AH96" s="26" t="str">
        <f aca="false">IF(OR(Q96="",$E96="",N($E96)&lt;=0),"",(Q96-ABS(N($F96)))/$E96)</f>
        <v/>
      </c>
      <c r="AI96" s="26" t="str">
        <f aca="false">IF(OR(R96="",$E96="",N($E96)&lt;=0),"",(R96-ABS(N($F96)))/$E96)</f>
        <v/>
      </c>
      <c r="AJ96" s="26" t="str">
        <f aca="false">IF(OR(S96="",$E96="",N($E96)&lt;=0),"",(S96-ABS(N($F96)))/$E96)</f>
        <v/>
      </c>
      <c r="AK96" s="26" t="str">
        <f aca="false">IF(OR(T96="",$E96="",N($E96)&lt;=0),"",(T96-ABS(N($F96)))/$E96)</f>
        <v/>
      </c>
      <c r="AL96" s="26" t="str">
        <f aca="false">IF(OR(U96="",$E96="",N($E96)&lt;=0),"",(U96-ABS(N($F96)))/$E96)</f>
        <v/>
      </c>
      <c r="AM96" s="26" t="str">
        <f aca="false">IF(OR(V96="",$E96="",N($E96)&lt;=0),"",(V96-ABS(N($F96)))/$E96)</f>
        <v/>
      </c>
      <c r="AN96" s="26" t="str">
        <f aca="false">IF(OR(W96="",$E96="",N($E96)&lt;=0),"",(W96-ABS(N($F96)))/$E96)</f>
        <v/>
      </c>
      <c r="AO96" s="26" t="str">
        <f aca="false">IF(OR(X96="",$E96="",N($E96)&lt;=0),"",(X96-ABS(N($F96)))/$E96)</f>
        <v/>
      </c>
      <c r="AP96" s="26" t="str">
        <f aca="false">IF(OR(Y96="",$E96="",N($E96)&lt;=0),"",(Y96-ABS(N($F96)))/$E96)</f>
        <v/>
      </c>
    </row>
    <row r="97" customFormat="false" ht="15" hidden="false" customHeight="true" outlineLevel="0" collapsed="false">
      <c r="A97" s="9" t="s">
        <v>235</v>
      </c>
      <c r="B97" s="11" t="s">
        <v>341</v>
      </c>
      <c r="C97" s="11" t="s">
        <v>352</v>
      </c>
      <c r="D97" s="21" t="n">
        <v>32.7686</v>
      </c>
      <c r="E97" s="22" t="n">
        <v>2.561</v>
      </c>
      <c r="F97" s="22" t="n">
        <v>1.53</v>
      </c>
      <c r="G97" s="23" t="n">
        <v>913</v>
      </c>
      <c r="H97" s="11" t="s">
        <v>331</v>
      </c>
      <c r="I97" s="24" t="n">
        <f aca="false">MATCH(A97,'TEa input'!$A$6:$A$68,0)</f>
        <v>44</v>
      </c>
      <c r="J97" s="25" t="str">
        <f aca="false">IF(INDEX('TEa input'!$E$6:$E$68,$I97)="","",INDEX('TEa input'!$E$6:$E$68,$I97))</f>
        <v/>
      </c>
      <c r="K97" s="25" t="n">
        <f aca="false">IF(INDEX('TEa input'!$G$6:$G$68,$I97)="","",INDEX('TEa input'!$G$6:$G$68,$I97))</f>
        <v>15</v>
      </c>
      <c r="L97" s="25" t="n">
        <f aca="false">IF(INDEX('TEa input'!$I$6:$I$68,$I97)="","",INDEX('TEa input'!$I$6:$I$68,$I97))</f>
        <v>12</v>
      </c>
      <c r="M97" s="25" t="str">
        <f aca="false">IF(INDEX('TEa input'!$K$6:$K$68,$I97)="","",INDEX('TEa input'!$K$6:$K$68,$I97))</f>
        <v/>
      </c>
      <c r="N97" s="25" t="n">
        <f aca="false">IF(INDEX('TEa input'!$M$6:$M$68,$I97)="","",INDEX('TEa input'!$M$6:$M$68,$I97))</f>
        <v>10</v>
      </c>
      <c r="O97" s="25" t="str">
        <f aca="false">IF(INDEX('TEa input'!$O$6:$O$68,$I97)="","",INDEX('TEa input'!$O$6:$O$68,$I97))</f>
        <v/>
      </c>
      <c r="P97" s="25" t="str">
        <f aca="false">IF(INDEX('TEa input'!$Q$6:$Q$68,$I97)="","",INDEX('TEa input'!$Q$6:$Q$68,$I97))</f>
        <v/>
      </c>
      <c r="Q97" s="25" t="str">
        <f aca="false">IF(INDEX('TEa input'!$R$6:$R$68,$I97)="","",INDEX('TEa input'!$R$6:$R$68,$I97))</f>
        <v/>
      </c>
      <c r="R97" s="25" t="str">
        <f aca="false">IF(INDEX('TEa input'!$T$6:$T$68,$I97)="","",INDEX('TEa input'!$T$6:$T$68,$I97))</f>
        <v/>
      </c>
      <c r="S97" s="25" t="str">
        <f aca="false">IF(INDEX('TEa input'!$Y$6:$Y$68,$I97)="","",INDEX('TEa input'!$Y$6:$Y$68,$I97))</f>
        <v/>
      </c>
      <c r="T97" s="25" t="str">
        <f aca="false">IF(INDEX('TEa input'!$Z$6:$Z$68,$I97)="","",INDEX('TEa input'!$Z$6:$Z$68,$I97))</f>
        <v/>
      </c>
      <c r="U97" s="25" t="str">
        <f aca="false">IF(INDEX('TEa input'!$AA$6:$AA$68,$I97)="","",INDEX('TEa input'!$AA$6:$AA$68,$I97))</f>
        <v/>
      </c>
      <c r="V97" s="25" t="str">
        <f aca="false">IF(INDEX('TEa input'!$AB$6:$AB$68,$I97)="","",INDEX('TEa input'!$AB$6:$AB$68,$I97))</f>
        <v/>
      </c>
      <c r="W97" s="25" t="str">
        <f aca="false">IF(INDEX('TEa input'!$AC$6:$AC$68,$I97)="","",INDEX('TEa input'!$AC$6:$AC$68,$I97))</f>
        <v/>
      </c>
      <c r="X97" s="25" t="str">
        <f aca="false">IF(INDEX('TEa input'!$AD$6:$AD$68,$I97)="","",INDEX('TEa input'!$AD$6:$AD$68,$I97))</f>
        <v/>
      </c>
      <c r="Y97" s="25" t="str">
        <f aca="false">IF(INDEX('TEa input'!$AF$6:$AF$68,$I97)="","",INDEX('TEa input'!$AF$6:$AF$68,$I97))</f>
        <v/>
      </c>
      <c r="AA97" s="26" t="str">
        <f aca="false">IF(OR(J97="",$E97="",N($E97)&lt;=0),"",(J97-ABS(N($F97)))/$E97)</f>
        <v/>
      </c>
      <c r="AB97" s="26" t="n">
        <f aca="false">IF(OR(K97="",$E97="",N($E97)&lt;=0),"",(K97-ABS(N($F97)))/$E97)</f>
        <v>5.25966419367435</v>
      </c>
      <c r="AC97" s="26" t="n">
        <f aca="false">IF(OR(L97="",$E97="",N($E97)&lt;=0),"",(L97-ABS(N($F97)))/$E97)</f>
        <v>4.08824677860211</v>
      </c>
      <c r="AD97" s="26" t="str">
        <f aca="false">IF(OR(M97="",$E97="",N($E97)&lt;=0),"",(M97-ABS(N($F97)))/$E97)</f>
        <v/>
      </c>
      <c r="AE97" s="26" t="n">
        <f aca="false">IF(OR(N97="",$E97="",N($E97)&lt;=0),"",(N97-ABS(N($F97)))/$E97)</f>
        <v>3.30730183522062</v>
      </c>
      <c r="AF97" s="26" t="str">
        <f aca="false">IF(OR(O97="",$E97="",N($E97)&lt;=0),"",(O97-ABS(N($F97)))/$E97)</f>
        <v/>
      </c>
      <c r="AG97" s="26" t="str">
        <f aca="false">IF(OR(P97="",$E97="",N($E97)&lt;=0),"",(P97-ABS(N($F97)))/$E97)</f>
        <v/>
      </c>
      <c r="AH97" s="26" t="str">
        <f aca="false">IF(OR(Q97="",$E97="",N($E97)&lt;=0),"",(Q97-ABS(N($F97)))/$E97)</f>
        <v/>
      </c>
      <c r="AI97" s="26" t="str">
        <f aca="false">IF(OR(R97="",$E97="",N($E97)&lt;=0),"",(R97-ABS(N($F97)))/$E97)</f>
        <v/>
      </c>
      <c r="AJ97" s="26" t="str">
        <f aca="false">IF(OR(S97="",$E97="",N($E97)&lt;=0),"",(S97-ABS(N($F97)))/$E97)</f>
        <v/>
      </c>
      <c r="AK97" s="26" t="str">
        <f aca="false">IF(OR(T97="",$E97="",N($E97)&lt;=0),"",(T97-ABS(N($F97)))/$E97)</f>
        <v/>
      </c>
      <c r="AL97" s="26" t="str">
        <f aca="false">IF(OR(U97="",$E97="",N($E97)&lt;=0),"",(U97-ABS(N($F97)))/$E97)</f>
        <v/>
      </c>
      <c r="AM97" s="26" t="str">
        <f aca="false">IF(OR(V97="",$E97="",N($E97)&lt;=0),"",(V97-ABS(N($F97)))/$E97)</f>
        <v/>
      </c>
      <c r="AN97" s="26" t="str">
        <f aca="false">IF(OR(W97="",$E97="",N($E97)&lt;=0),"",(W97-ABS(N($F97)))/$E97)</f>
        <v/>
      </c>
      <c r="AO97" s="26" t="str">
        <f aca="false">IF(OR(X97="",$E97="",N($E97)&lt;=0),"",(X97-ABS(N($F97)))/$E97)</f>
        <v/>
      </c>
      <c r="AP97" s="26" t="str">
        <f aca="false">IF(OR(Y97="",$E97="",N($E97)&lt;=0),"",(Y97-ABS(N($F97)))/$E97)</f>
        <v/>
      </c>
    </row>
    <row r="98" customFormat="false" ht="15" hidden="false" customHeight="true" outlineLevel="0" collapsed="false">
      <c r="A98" s="9" t="s">
        <v>239</v>
      </c>
      <c r="B98" s="11" t="s">
        <v>326</v>
      </c>
      <c r="C98" s="11" t="s">
        <v>350</v>
      </c>
      <c r="D98" s="21" t="n">
        <v>233.947</v>
      </c>
      <c r="E98" s="22" t="n">
        <v>4.4</v>
      </c>
      <c r="F98" s="22" t="n">
        <v>0.148</v>
      </c>
      <c r="G98" s="23" t="n">
        <v>891</v>
      </c>
      <c r="H98" s="11" t="s">
        <v>340</v>
      </c>
      <c r="I98" s="24" t="n">
        <f aca="false">MATCH(A98,'TEa input'!$A$6:$A$68,0)</f>
        <v>45</v>
      </c>
      <c r="J98" s="25" t="str">
        <f aca="false">IF(INDEX('TEa input'!$E$6:$E$68,$I98)="","",INDEX('TEa input'!$E$6:$E$68,$I98))</f>
        <v/>
      </c>
      <c r="K98" s="25" t="n">
        <f aca="false">IF(INDEX('TEa input'!$G$6:$G$68,$I98)="","",INDEX('TEa input'!$G$6:$G$68,$I98))</f>
        <v>20</v>
      </c>
      <c r="L98" s="25" t="n">
        <f aca="false">IF(INDEX('TEa input'!$I$6:$I$68,$I98)="","",INDEX('TEa input'!$I$6:$I$68,$I98))</f>
        <v>11.5</v>
      </c>
      <c r="M98" s="25" t="str">
        <f aca="false">IF(INDEX('TEa input'!$K$6:$K$68,$I98)="","",INDEX('TEa input'!$K$6:$K$68,$I98))</f>
        <v/>
      </c>
      <c r="N98" s="25" t="n">
        <f aca="false">IF(INDEX('TEa input'!$M$6:$M$68,$I98)="","",INDEX('TEa input'!$M$6:$M$68,$I98))</f>
        <v>10</v>
      </c>
      <c r="O98" s="25" t="str">
        <f aca="false">IF(INDEX('TEa input'!$O$6:$O$68,$I98)="","",INDEX('TEa input'!$O$6:$O$68,$I98))</f>
        <v/>
      </c>
      <c r="P98" s="25" t="str">
        <f aca="false">IF(INDEX('TEa input'!$Q$6:$Q$68,$I98)="","",INDEX('TEa input'!$Q$6:$Q$68,$I98))</f>
        <v/>
      </c>
      <c r="Q98" s="25" t="str">
        <f aca="false">IF(INDEX('TEa input'!$R$6:$R$68,$I98)="","",INDEX('TEa input'!$R$6:$R$68,$I98))</f>
        <v/>
      </c>
      <c r="R98" s="25" t="str">
        <f aca="false">IF(INDEX('TEa input'!$T$6:$T$68,$I98)="","",INDEX('TEa input'!$T$6:$T$68,$I98))</f>
        <v/>
      </c>
      <c r="S98" s="25" t="str">
        <f aca="false">IF(INDEX('TEa input'!$Y$6:$Y$68,$I98)="","",INDEX('TEa input'!$Y$6:$Y$68,$I98))</f>
        <v/>
      </c>
      <c r="T98" s="25" t="str">
        <f aca="false">IF(INDEX('TEa input'!$Z$6:$Z$68,$I98)="","",INDEX('TEa input'!$Z$6:$Z$68,$I98))</f>
        <v/>
      </c>
      <c r="U98" s="25" t="str">
        <f aca="false">IF(INDEX('TEa input'!$AA$6:$AA$68,$I98)="","",INDEX('TEa input'!$AA$6:$AA$68,$I98))</f>
        <v/>
      </c>
      <c r="V98" s="25" t="str">
        <f aca="false">IF(INDEX('TEa input'!$AB$6:$AB$68,$I98)="","",INDEX('TEa input'!$AB$6:$AB$68,$I98))</f>
        <v/>
      </c>
      <c r="W98" s="25" t="str">
        <f aca="false">IF(INDEX('TEa input'!$AC$6:$AC$68,$I98)="","",INDEX('TEa input'!$AC$6:$AC$68,$I98))</f>
        <v/>
      </c>
      <c r="X98" s="25" t="str">
        <f aca="false">IF(INDEX('TEa input'!$AD$6:$AD$68,$I98)="","",INDEX('TEa input'!$AD$6:$AD$68,$I98))</f>
        <v/>
      </c>
      <c r="Y98" s="25" t="str">
        <f aca="false">IF(INDEX('TEa input'!$AF$6:$AF$68,$I98)="","",INDEX('TEa input'!$AF$6:$AF$68,$I98))</f>
        <v/>
      </c>
      <c r="AA98" s="26" t="str">
        <f aca="false">IF(OR(J98="",$E98="",N($E98)&lt;=0),"",(J98-ABS(N($F98)))/$E98)</f>
        <v/>
      </c>
      <c r="AB98" s="26" t="n">
        <f aca="false">IF(OR(K98="",$E98="",N($E98)&lt;=0),"",(K98-ABS(N($F98)))/$E98)</f>
        <v>4.51181818181818</v>
      </c>
      <c r="AC98" s="26" t="n">
        <f aca="false">IF(OR(L98="",$E98="",N($E98)&lt;=0),"",(L98-ABS(N($F98)))/$E98)</f>
        <v>2.58</v>
      </c>
      <c r="AD98" s="26" t="str">
        <f aca="false">IF(OR(M98="",$E98="",N($E98)&lt;=0),"",(M98-ABS(N($F98)))/$E98)</f>
        <v/>
      </c>
      <c r="AE98" s="26" t="n">
        <f aca="false">IF(OR(N98="",$E98="",N($E98)&lt;=0),"",(N98-ABS(N($F98)))/$E98)</f>
        <v>2.23909090909091</v>
      </c>
      <c r="AF98" s="26" t="str">
        <f aca="false">IF(OR(O98="",$E98="",N($E98)&lt;=0),"",(O98-ABS(N($F98)))/$E98)</f>
        <v/>
      </c>
      <c r="AG98" s="26" t="str">
        <f aca="false">IF(OR(P98="",$E98="",N($E98)&lt;=0),"",(P98-ABS(N($F98)))/$E98)</f>
        <v/>
      </c>
      <c r="AH98" s="26" t="str">
        <f aca="false">IF(OR(Q98="",$E98="",N($E98)&lt;=0),"",(Q98-ABS(N($F98)))/$E98)</f>
        <v/>
      </c>
      <c r="AI98" s="26" t="str">
        <f aca="false">IF(OR(R98="",$E98="",N($E98)&lt;=0),"",(R98-ABS(N($F98)))/$E98)</f>
        <v/>
      </c>
      <c r="AJ98" s="26" t="str">
        <f aca="false">IF(OR(S98="",$E98="",N($E98)&lt;=0),"",(S98-ABS(N($F98)))/$E98)</f>
        <v/>
      </c>
      <c r="AK98" s="26" t="str">
        <f aca="false">IF(OR(T98="",$E98="",N($E98)&lt;=0),"",(T98-ABS(N($F98)))/$E98)</f>
        <v/>
      </c>
      <c r="AL98" s="26" t="str">
        <f aca="false">IF(OR(U98="",$E98="",N($E98)&lt;=0),"",(U98-ABS(N($F98)))/$E98)</f>
        <v/>
      </c>
      <c r="AM98" s="26" t="str">
        <f aca="false">IF(OR(V98="",$E98="",N($E98)&lt;=0),"",(V98-ABS(N($F98)))/$E98)</f>
        <v/>
      </c>
      <c r="AN98" s="26" t="str">
        <f aca="false">IF(OR(W98="",$E98="",N($E98)&lt;=0),"",(W98-ABS(N($F98)))/$E98)</f>
        <v/>
      </c>
      <c r="AO98" s="26" t="str">
        <f aca="false">IF(OR(X98="",$E98="",N($E98)&lt;=0),"",(X98-ABS(N($F98)))/$E98)</f>
        <v/>
      </c>
      <c r="AP98" s="26" t="str">
        <f aca="false">IF(OR(Y98="",$E98="",N($E98)&lt;=0),"",(Y98-ABS(N($F98)))/$E98)</f>
        <v/>
      </c>
    </row>
    <row r="99" customFormat="false" ht="15" hidden="false" customHeight="true" outlineLevel="0" collapsed="false">
      <c r="A99" s="9" t="s">
        <v>239</v>
      </c>
      <c r="B99" s="11" t="s">
        <v>329</v>
      </c>
      <c r="C99" s="11" t="s">
        <v>351</v>
      </c>
      <c r="D99" s="21" t="n">
        <v>489.779</v>
      </c>
      <c r="E99" s="22" t="n">
        <v>3.681</v>
      </c>
      <c r="F99" s="22" t="n">
        <v>0.299</v>
      </c>
      <c r="G99" s="23" t="n">
        <v>890</v>
      </c>
      <c r="H99" s="11" t="s">
        <v>332</v>
      </c>
      <c r="I99" s="24" t="n">
        <f aca="false">MATCH(A99,'TEa input'!$A$6:$A$68,0)</f>
        <v>45</v>
      </c>
      <c r="J99" s="25" t="str">
        <f aca="false">IF(INDEX('TEa input'!$E$6:$E$68,$I99)="","",INDEX('TEa input'!$E$6:$E$68,$I99))</f>
        <v/>
      </c>
      <c r="K99" s="25" t="n">
        <f aca="false">IF(INDEX('TEa input'!$G$6:$G$68,$I99)="","",INDEX('TEa input'!$G$6:$G$68,$I99))</f>
        <v>20</v>
      </c>
      <c r="L99" s="25" t="n">
        <f aca="false">IF(INDEX('TEa input'!$I$6:$I$68,$I99)="","",INDEX('TEa input'!$I$6:$I$68,$I99))</f>
        <v>11.5</v>
      </c>
      <c r="M99" s="25" t="str">
        <f aca="false">IF(INDEX('TEa input'!$K$6:$K$68,$I99)="","",INDEX('TEa input'!$K$6:$K$68,$I99))</f>
        <v/>
      </c>
      <c r="N99" s="25" t="n">
        <f aca="false">IF(INDEX('TEa input'!$M$6:$M$68,$I99)="","",INDEX('TEa input'!$M$6:$M$68,$I99))</f>
        <v>10</v>
      </c>
      <c r="O99" s="25" t="str">
        <f aca="false">IF(INDEX('TEa input'!$O$6:$O$68,$I99)="","",INDEX('TEa input'!$O$6:$O$68,$I99))</f>
        <v/>
      </c>
      <c r="P99" s="25" t="str">
        <f aca="false">IF(INDEX('TEa input'!$Q$6:$Q$68,$I99)="","",INDEX('TEa input'!$Q$6:$Q$68,$I99))</f>
        <v/>
      </c>
      <c r="Q99" s="25" t="str">
        <f aca="false">IF(INDEX('TEa input'!$R$6:$R$68,$I99)="","",INDEX('TEa input'!$R$6:$R$68,$I99))</f>
        <v/>
      </c>
      <c r="R99" s="25" t="str">
        <f aca="false">IF(INDEX('TEa input'!$T$6:$T$68,$I99)="","",INDEX('TEa input'!$T$6:$T$68,$I99))</f>
        <v/>
      </c>
      <c r="S99" s="25" t="str">
        <f aca="false">IF(INDEX('TEa input'!$Y$6:$Y$68,$I99)="","",INDEX('TEa input'!$Y$6:$Y$68,$I99))</f>
        <v/>
      </c>
      <c r="T99" s="25" t="str">
        <f aca="false">IF(INDEX('TEa input'!$Z$6:$Z$68,$I99)="","",INDEX('TEa input'!$Z$6:$Z$68,$I99))</f>
        <v/>
      </c>
      <c r="U99" s="25" t="str">
        <f aca="false">IF(INDEX('TEa input'!$AA$6:$AA$68,$I99)="","",INDEX('TEa input'!$AA$6:$AA$68,$I99))</f>
        <v/>
      </c>
      <c r="V99" s="25" t="str">
        <f aca="false">IF(INDEX('TEa input'!$AB$6:$AB$68,$I99)="","",INDEX('TEa input'!$AB$6:$AB$68,$I99))</f>
        <v/>
      </c>
      <c r="W99" s="25" t="str">
        <f aca="false">IF(INDEX('TEa input'!$AC$6:$AC$68,$I99)="","",INDEX('TEa input'!$AC$6:$AC$68,$I99))</f>
        <v/>
      </c>
      <c r="X99" s="25" t="str">
        <f aca="false">IF(INDEX('TEa input'!$AD$6:$AD$68,$I99)="","",INDEX('TEa input'!$AD$6:$AD$68,$I99))</f>
        <v/>
      </c>
      <c r="Y99" s="25" t="str">
        <f aca="false">IF(INDEX('TEa input'!$AF$6:$AF$68,$I99)="","",INDEX('TEa input'!$AF$6:$AF$68,$I99))</f>
        <v/>
      </c>
      <c r="AA99" s="26" t="str">
        <f aca="false">IF(OR(J99="",$E99="",N($E99)&lt;=0),"",(J99-ABS(N($F99)))/$E99)</f>
        <v/>
      </c>
      <c r="AB99" s="26" t="n">
        <f aca="false">IF(OR(K99="",$E99="",N($E99)&lt;=0),"",(K99-ABS(N($F99)))/$E99)</f>
        <v>5.3520782396088</v>
      </c>
      <c r="AC99" s="26" t="n">
        <f aca="false">IF(OR(L99="",$E99="",N($E99)&lt;=0),"",(L99-ABS(N($F99)))/$E99)</f>
        <v>3.04292311871774</v>
      </c>
      <c r="AD99" s="26" t="str">
        <f aca="false">IF(OR(M99="",$E99="",N($E99)&lt;=0),"",(M99-ABS(N($F99)))/$E99)</f>
        <v/>
      </c>
      <c r="AE99" s="26" t="n">
        <f aca="false">IF(OR(N99="",$E99="",N($E99)&lt;=0),"",(N99-ABS(N($F99)))/$E99)</f>
        <v>2.63542515620755</v>
      </c>
      <c r="AF99" s="26" t="str">
        <f aca="false">IF(OR(O99="",$E99="",N($E99)&lt;=0),"",(O99-ABS(N($F99)))/$E99)</f>
        <v/>
      </c>
      <c r="AG99" s="26" t="str">
        <f aca="false">IF(OR(P99="",$E99="",N($E99)&lt;=0),"",(P99-ABS(N($F99)))/$E99)</f>
        <v/>
      </c>
      <c r="AH99" s="26" t="str">
        <f aca="false">IF(OR(Q99="",$E99="",N($E99)&lt;=0),"",(Q99-ABS(N($F99)))/$E99)</f>
        <v/>
      </c>
      <c r="AI99" s="26" t="str">
        <f aca="false">IF(OR(R99="",$E99="",N($E99)&lt;=0),"",(R99-ABS(N($F99)))/$E99)</f>
        <v/>
      </c>
      <c r="AJ99" s="26" t="str">
        <f aca="false">IF(OR(S99="",$E99="",N($E99)&lt;=0),"",(S99-ABS(N($F99)))/$E99)</f>
        <v/>
      </c>
      <c r="AK99" s="26" t="str">
        <f aca="false">IF(OR(T99="",$E99="",N($E99)&lt;=0),"",(T99-ABS(N($F99)))/$E99)</f>
        <v/>
      </c>
      <c r="AL99" s="26" t="str">
        <f aca="false">IF(OR(U99="",$E99="",N($E99)&lt;=0),"",(U99-ABS(N($F99)))/$E99)</f>
        <v/>
      </c>
      <c r="AM99" s="26" t="str">
        <f aca="false">IF(OR(V99="",$E99="",N($E99)&lt;=0),"",(V99-ABS(N($F99)))/$E99)</f>
        <v/>
      </c>
      <c r="AN99" s="26" t="str">
        <f aca="false">IF(OR(W99="",$E99="",N($E99)&lt;=0),"",(W99-ABS(N($F99)))/$E99)</f>
        <v/>
      </c>
      <c r="AO99" s="26" t="str">
        <f aca="false">IF(OR(X99="",$E99="",N($E99)&lt;=0),"",(X99-ABS(N($F99)))/$E99)</f>
        <v/>
      </c>
      <c r="AP99" s="26" t="str">
        <f aca="false">IF(OR(Y99="",$E99="",N($E99)&lt;=0),"",(Y99-ABS(N($F99)))/$E99)</f>
        <v/>
      </c>
    </row>
    <row r="100" customFormat="false" ht="15" hidden="false" customHeight="true" outlineLevel="0" collapsed="false">
      <c r="A100" s="9" t="s">
        <v>239</v>
      </c>
      <c r="B100" s="11" t="s">
        <v>341</v>
      </c>
      <c r="C100" s="11" t="s">
        <v>352</v>
      </c>
      <c r="D100" s="21" t="n">
        <v>765.734</v>
      </c>
      <c r="E100" s="22" t="n">
        <v>3.812</v>
      </c>
      <c r="F100" s="22" t="n">
        <v>1.061</v>
      </c>
      <c r="G100" s="23" t="n">
        <v>890</v>
      </c>
      <c r="H100" s="11" t="s">
        <v>332</v>
      </c>
      <c r="I100" s="24" t="n">
        <f aca="false">MATCH(A100,'TEa input'!$A$6:$A$68,0)</f>
        <v>45</v>
      </c>
      <c r="J100" s="25" t="str">
        <f aca="false">IF(INDEX('TEa input'!$E$6:$E$68,$I100)="","",INDEX('TEa input'!$E$6:$E$68,$I100))</f>
        <v/>
      </c>
      <c r="K100" s="25" t="n">
        <f aca="false">IF(INDEX('TEa input'!$G$6:$G$68,$I100)="","",INDEX('TEa input'!$G$6:$G$68,$I100))</f>
        <v>20</v>
      </c>
      <c r="L100" s="25" t="n">
        <f aca="false">IF(INDEX('TEa input'!$I$6:$I$68,$I100)="","",INDEX('TEa input'!$I$6:$I$68,$I100))</f>
        <v>11.5</v>
      </c>
      <c r="M100" s="25" t="str">
        <f aca="false">IF(INDEX('TEa input'!$K$6:$K$68,$I100)="","",INDEX('TEa input'!$K$6:$K$68,$I100))</f>
        <v/>
      </c>
      <c r="N100" s="25" t="n">
        <f aca="false">IF(INDEX('TEa input'!$M$6:$M$68,$I100)="","",INDEX('TEa input'!$M$6:$M$68,$I100))</f>
        <v>10</v>
      </c>
      <c r="O100" s="25" t="str">
        <f aca="false">IF(INDEX('TEa input'!$O$6:$O$68,$I100)="","",INDEX('TEa input'!$O$6:$O$68,$I100))</f>
        <v/>
      </c>
      <c r="P100" s="25" t="str">
        <f aca="false">IF(INDEX('TEa input'!$Q$6:$Q$68,$I100)="","",INDEX('TEa input'!$Q$6:$Q$68,$I100))</f>
        <v/>
      </c>
      <c r="Q100" s="25" t="str">
        <f aca="false">IF(INDEX('TEa input'!$R$6:$R$68,$I100)="","",INDEX('TEa input'!$R$6:$R$68,$I100))</f>
        <v/>
      </c>
      <c r="R100" s="25" t="str">
        <f aca="false">IF(INDEX('TEa input'!$T$6:$T$68,$I100)="","",INDEX('TEa input'!$T$6:$T$68,$I100))</f>
        <v/>
      </c>
      <c r="S100" s="25" t="str">
        <f aca="false">IF(INDEX('TEa input'!$Y$6:$Y$68,$I100)="","",INDEX('TEa input'!$Y$6:$Y$68,$I100))</f>
        <v/>
      </c>
      <c r="T100" s="25" t="str">
        <f aca="false">IF(INDEX('TEa input'!$Z$6:$Z$68,$I100)="","",INDEX('TEa input'!$Z$6:$Z$68,$I100))</f>
        <v/>
      </c>
      <c r="U100" s="25" t="str">
        <f aca="false">IF(INDEX('TEa input'!$AA$6:$AA$68,$I100)="","",INDEX('TEa input'!$AA$6:$AA$68,$I100))</f>
        <v/>
      </c>
      <c r="V100" s="25" t="str">
        <f aca="false">IF(INDEX('TEa input'!$AB$6:$AB$68,$I100)="","",INDEX('TEa input'!$AB$6:$AB$68,$I100))</f>
        <v/>
      </c>
      <c r="W100" s="25" t="str">
        <f aca="false">IF(INDEX('TEa input'!$AC$6:$AC$68,$I100)="","",INDEX('TEa input'!$AC$6:$AC$68,$I100))</f>
        <v/>
      </c>
      <c r="X100" s="25" t="str">
        <f aca="false">IF(INDEX('TEa input'!$AD$6:$AD$68,$I100)="","",INDEX('TEa input'!$AD$6:$AD$68,$I100))</f>
        <v/>
      </c>
      <c r="Y100" s="25" t="str">
        <f aca="false">IF(INDEX('TEa input'!$AF$6:$AF$68,$I100)="","",INDEX('TEa input'!$AF$6:$AF$68,$I100))</f>
        <v/>
      </c>
      <c r="AA100" s="26" t="str">
        <f aca="false">IF(OR(J100="",$E100="",N($E100)&lt;=0),"",(J100-ABS(N($F100)))/$E100)</f>
        <v/>
      </c>
      <c r="AB100" s="26" t="n">
        <f aca="false">IF(OR(K100="",$E100="",N($E100)&lt;=0),"",(K100-ABS(N($F100)))/$E100)</f>
        <v>4.96825813221406</v>
      </c>
      <c r="AC100" s="26" t="n">
        <f aca="false">IF(OR(L100="",$E100="",N($E100)&lt;=0),"",(L100-ABS(N($F100)))/$E100)</f>
        <v>2.7384575026233</v>
      </c>
      <c r="AD100" s="26" t="str">
        <f aca="false">IF(OR(M100="",$E100="",N($E100)&lt;=0),"",(M100-ABS(N($F100)))/$E100)</f>
        <v/>
      </c>
      <c r="AE100" s="26" t="n">
        <f aca="false">IF(OR(N100="",$E100="",N($E100)&lt;=0),"",(N100-ABS(N($F100)))/$E100)</f>
        <v>2.34496327387198</v>
      </c>
      <c r="AF100" s="26" t="str">
        <f aca="false">IF(OR(O100="",$E100="",N($E100)&lt;=0),"",(O100-ABS(N($F100)))/$E100)</f>
        <v/>
      </c>
      <c r="AG100" s="26" t="str">
        <f aca="false">IF(OR(P100="",$E100="",N($E100)&lt;=0),"",(P100-ABS(N($F100)))/$E100)</f>
        <v/>
      </c>
      <c r="AH100" s="26" t="str">
        <f aca="false">IF(OR(Q100="",$E100="",N($E100)&lt;=0),"",(Q100-ABS(N($F100)))/$E100)</f>
        <v/>
      </c>
      <c r="AI100" s="26" t="str">
        <f aca="false">IF(OR(R100="",$E100="",N($E100)&lt;=0),"",(R100-ABS(N($F100)))/$E100)</f>
        <v/>
      </c>
      <c r="AJ100" s="26" t="str">
        <f aca="false">IF(OR(S100="",$E100="",N($E100)&lt;=0),"",(S100-ABS(N($F100)))/$E100)</f>
        <v/>
      </c>
      <c r="AK100" s="26" t="str">
        <f aca="false">IF(OR(T100="",$E100="",N($E100)&lt;=0),"",(T100-ABS(N($F100)))/$E100)</f>
        <v/>
      </c>
      <c r="AL100" s="26" t="str">
        <f aca="false">IF(OR(U100="",$E100="",N($E100)&lt;=0),"",(U100-ABS(N($F100)))/$E100)</f>
        <v/>
      </c>
      <c r="AM100" s="26" t="str">
        <f aca="false">IF(OR(V100="",$E100="",N($E100)&lt;=0),"",(V100-ABS(N($F100)))/$E100)</f>
        <v/>
      </c>
      <c r="AN100" s="26" t="str">
        <f aca="false">IF(OR(W100="",$E100="",N($E100)&lt;=0),"",(W100-ABS(N($F100)))/$E100)</f>
        <v/>
      </c>
      <c r="AO100" s="26" t="str">
        <f aca="false">IF(OR(X100="",$E100="",N($E100)&lt;=0),"",(X100-ABS(N($F100)))/$E100)</f>
        <v/>
      </c>
      <c r="AP100" s="26" t="str">
        <f aca="false">IF(OR(Y100="",$E100="",N($E100)&lt;=0),"",(Y100-ABS(N($F100)))/$E100)</f>
        <v/>
      </c>
    </row>
    <row r="101" customFormat="false" ht="15" hidden="false" customHeight="true" outlineLevel="0" collapsed="false">
      <c r="A101" s="9" t="s">
        <v>242</v>
      </c>
      <c r="B101" s="11" t="s">
        <v>326</v>
      </c>
      <c r="C101" s="11" t="s">
        <v>350</v>
      </c>
      <c r="D101" s="21" t="n">
        <v>14.2807</v>
      </c>
      <c r="E101" s="22" t="n">
        <v>3.293</v>
      </c>
      <c r="F101" s="22" t="n">
        <v>0.255</v>
      </c>
      <c r="G101" s="23" t="n">
        <v>881</v>
      </c>
      <c r="H101" s="11" t="s">
        <v>332</v>
      </c>
      <c r="I101" s="24" t="n">
        <f aca="false">MATCH(A101,'TEa input'!$A$6:$A$68,0)</f>
        <v>46</v>
      </c>
      <c r="J101" s="25" t="str">
        <f aca="false">IF(INDEX('TEa input'!$E$6:$E$68,$I101)="","",INDEX('TEa input'!$E$6:$E$68,$I101))</f>
        <v/>
      </c>
      <c r="K101" s="25" t="n">
        <f aca="false">IF(INDEX('TEa input'!$G$6:$G$68,$I101)="","",INDEX('TEa input'!$G$6:$G$68,$I101))</f>
        <v>20</v>
      </c>
      <c r="L101" s="25" t="n">
        <f aca="false">IF(INDEX('TEa input'!$I$6:$I$68,$I101)="","",INDEX('TEa input'!$I$6:$I$68,$I101))</f>
        <v>12</v>
      </c>
      <c r="M101" s="25" t="str">
        <f aca="false">IF(INDEX('TEa input'!$K$6:$K$68,$I101)="","",INDEX('TEa input'!$K$6:$K$68,$I101))</f>
        <v/>
      </c>
      <c r="N101" s="25" t="n">
        <f aca="false">IF(INDEX('TEa input'!$M$6:$M$68,$I101)="","",INDEX('TEa input'!$M$6:$M$68,$I101))</f>
        <v>10</v>
      </c>
      <c r="O101" s="25" t="str">
        <f aca="false">IF(INDEX('TEa input'!$O$6:$O$68,$I101)="","",INDEX('TEa input'!$O$6:$O$68,$I101))</f>
        <v/>
      </c>
      <c r="P101" s="25" t="str">
        <f aca="false">IF(INDEX('TEa input'!$Q$6:$Q$68,$I101)="","",INDEX('TEa input'!$Q$6:$Q$68,$I101))</f>
        <v/>
      </c>
      <c r="Q101" s="25" t="str">
        <f aca="false">IF(INDEX('TEa input'!$R$6:$R$68,$I101)="","",INDEX('TEa input'!$R$6:$R$68,$I101))</f>
        <v/>
      </c>
      <c r="R101" s="25" t="str">
        <f aca="false">IF(INDEX('TEa input'!$T$6:$T$68,$I101)="","",INDEX('TEa input'!$T$6:$T$68,$I101))</f>
        <v/>
      </c>
      <c r="S101" s="25" t="str">
        <f aca="false">IF(INDEX('TEa input'!$Y$6:$Y$68,$I101)="","",INDEX('TEa input'!$Y$6:$Y$68,$I101))</f>
        <v/>
      </c>
      <c r="T101" s="25" t="str">
        <f aca="false">IF(INDEX('TEa input'!$Z$6:$Z$68,$I101)="","",INDEX('TEa input'!$Z$6:$Z$68,$I101))</f>
        <v/>
      </c>
      <c r="U101" s="25" t="str">
        <f aca="false">IF(INDEX('TEa input'!$AA$6:$AA$68,$I101)="","",INDEX('TEa input'!$AA$6:$AA$68,$I101))</f>
        <v/>
      </c>
      <c r="V101" s="25" t="str">
        <f aca="false">IF(INDEX('TEa input'!$AB$6:$AB$68,$I101)="","",INDEX('TEa input'!$AB$6:$AB$68,$I101))</f>
        <v/>
      </c>
      <c r="W101" s="25" t="str">
        <f aca="false">IF(INDEX('TEa input'!$AC$6:$AC$68,$I101)="","",INDEX('TEa input'!$AC$6:$AC$68,$I101))</f>
        <v/>
      </c>
      <c r="X101" s="25" t="str">
        <f aca="false">IF(INDEX('TEa input'!$AD$6:$AD$68,$I101)="","",INDEX('TEa input'!$AD$6:$AD$68,$I101))</f>
        <v/>
      </c>
      <c r="Y101" s="25" t="str">
        <f aca="false">IF(INDEX('TEa input'!$AF$6:$AF$68,$I101)="","",INDEX('TEa input'!$AF$6:$AF$68,$I101))</f>
        <v/>
      </c>
      <c r="AA101" s="26" t="str">
        <f aca="false">IF(OR(J101="",$E101="",N($E101)&lt;=0),"",(J101-ABS(N($F101)))/$E101)</f>
        <v/>
      </c>
      <c r="AB101" s="26" t="n">
        <f aca="false">IF(OR(K101="",$E101="",N($E101)&lt;=0),"",(K101-ABS(N($F101)))/$E101)</f>
        <v>5.99605223200729</v>
      </c>
      <c r="AC101" s="26" t="n">
        <f aca="false">IF(OR(L101="",$E101="",N($E101)&lt;=0),"",(L101-ABS(N($F101)))/$E101)</f>
        <v>3.56665654418463</v>
      </c>
      <c r="AD101" s="26" t="str">
        <f aca="false">IF(OR(M101="",$E101="",N($E101)&lt;=0),"",(M101-ABS(N($F101)))/$E101)</f>
        <v/>
      </c>
      <c r="AE101" s="26" t="n">
        <f aca="false">IF(OR(N101="",$E101="",N($E101)&lt;=0),"",(N101-ABS(N($F101)))/$E101)</f>
        <v>2.95930762222897</v>
      </c>
      <c r="AF101" s="26" t="str">
        <f aca="false">IF(OR(O101="",$E101="",N($E101)&lt;=0),"",(O101-ABS(N($F101)))/$E101)</f>
        <v/>
      </c>
      <c r="AG101" s="26" t="str">
        <f aca="false">IF(OR(P101="",$E101="",N($E101)&lt;=0),"",(P101-ABS(N($F101)))/$E101)</f>
        <v/>
      </c>
      <c r="AH101" s="26" t="str">
        <f aca="false">IF(OR(Q101="",$E101="",N($E101)&lt;=0),"",(Q101-ABS(N($F101)))/$E101)</f>
        <v/>
      </c>
      <c r="AI101" s="26" t="str">
        <f aca="false">IF(OR(R101="",$E101="",N($E101)&lt;=0),"",(R101-ABS(N($F101)))/$E101)</f>
        <v/>
      </c>
      <c r="AJ101" s="26" t="str">
        <f aca="false">IF(OR(S101="",$E101="",N($E101)&lt;=0),"",(S101-ABS(N($F101)))/$E101)</f>
        <v/>
      </c>
      <c r="AK101" s="26" t="str">
        <f aca="false">IF(OR(T101="",$E101="",N($E101)&lt;=0),"",(T101-ABS(N($F101)))/$E101)</f>
        <v/>
      </c>
      <c r="AL101" s="26" t="str">
        <f aca="false">IF(OR(U101="",$E101="",N($E101)&lt;=0),"",(U101-ABS(N($F101)))/$E101)</f>
        <v/>
      </c>
      <c r="AM101" s="26" t="str">
        <f aca="false">IF(OR(V101="",$E101="",N($E101)&lt;=0),"",(V101-ABS(N($F101)))/$E101)</f>
        <v/>
      </c>
      <c r="AN101" s="26" t="str">
        <f aca="false">IF(OR(W101="",$E101="",N($E101)&lt;=0),"",(W101-ABS(N($F101)))/$E101)</f>
        <v/>
      </c>
      <c r="AO101" s="26" t="str">
        <f aca="false">IF(OR(X101="",$E101="",N($E101)&lt;=0),"",(X101-ABS(N($F101)))/$E101)</f>
        <v/>
      </c>
      <c r="AP101" s="26" t="str">
        <f aca="false">IF(OR(Y101="",$E101="",N($E101)&lt;=0),"",(Y101-ABS(N($F101)))/$E101)</f>
        <v/>
      </c>
    </row>
    <row r="102" customFormat="false" ht="15" hidden="false" customHeight="true" outlineLevel="0" collapsed="false">
      <c r="A102" s="9" t="s">
        <v>242</v>
      </c>
      <c r="B102" s="11" t="s">
        <v>329</v>
      </c>
      <c r="C102" s="11" t="s">
        <v>351</v>
      </c>
      <c r="D102" s="21" t="n">
        <v>38.6691</v>
      </c>
      <c r="E102" s="22" t="n">
        <v>2.104</v>
      </c>
      <c r="F102" s="22" t="n">
        <v>0.121</v>
      </c>
      <c r="G102" s="23" t="n">
        <v>879</v>
      </c>
      <c r="H102" s="11" t="s">
        <v>332</v>
      </c>
      <c r="I102" s="24" t="n">
        <f aca="false">MATCH(A102,'TEa input'!$A$6:$A$68,0)</f>
        <v>46</v>
      </c>
      <c r="J102" s="25" t="str">
        <f aca="false">IF(INDEX('TEa input'!$E$6:$E$68,$I102)="","",INDEX('TEa input'!$E$6:$E$68,$I102))</f>
        <v/>
      </c>
      <c r="K102" s="25" t="n">
        <f aca="false">IF(INDEX('TEa input'!$G$6:$G$68,$I102)="","",INDEX('TEa input'!$G$6:$G$68,$I102))</f>
        <v>20</v>
      </c>
      <c r="L102" s="25" t="n">
        <f aca="false">IF(INDEX('TEa input'!$I$6:$I$68,$I102)="","",INDEX('TEa input'!$I$6:$I$68,$I102))</f>
        <v>12</v>
      </c>
      <c r="M102" s="25" t="str">
        <f aca="false">IF(INDEX('TEa input'!$K$6:$K$68,$I102)="","",INDEX('TEa input'!$K$6:$K$68,$I102))</f>
        <v/>
      </c>
      <c r="N102" s="25" t="n">
        <f aca="false">IF(INDEX('TEa input'!$M$6:$M$68,$I102)="","",INDEX('TEa input'!$M$6:$M$68,$I102))</f>
        <v>10</v>
      </c>
      <c r="O102" s="25" t="str">
        <f aca="false">IF(INDEX('TEa input'!$O$6:$O$68,$I102)="","",INDEX('TEa input'!$O$6:$O$68,$I102))</f>
        <v/>
      </c>
      <c r="P102" s="25" t="str">
        <f aca="false">IF(INDEX('TEa input'!$Q$6:$Q$68,$I102)="","",INDEX('TEa input'!$Q$6:$Q$68,$I102))</f>
        <v/>
      </c>
      <c r="Q102" s="25" t="str">
        <f aca="false">IF(INDEX('TEa input'!$R$6:$R$68,$I102)="","",INDEX('TEa input'!$R$6:$R$68,$I102))</f>
        <v/>
      </c>
      <c r="R102" s="25" t="str">
        <f aca="false">IF(INDEX('TEa input'!$T$6:$T$68,$I102)="","",INDEX('TEa input'!$T$6:$T$68,$I102))</f>
        <v/>
      </c>
      <c r="S102" s="25" t="str">
        <f aca="false">IF(INDEX('TEa input'!$Y$6:$Y$68,$I102)="","",INDEX('TEa input'!$Y$6:$Y$68,$I102))</f>
        <v/>
      </c>
      <c r="T102" s="25" t="str">
        <f aca="false">IF(INDEX('TEa input'!$Z$6:$Z$68,$I102)="","",INDEX('TEa input'!$Z$6:$Z$68,$I102))</f>
        <v/>
      </c>
      <c r="U102" s="25" t="str">
        <f aca="false">IF(INDEX('TEa input'!$AA$6:$AA$68,$I102)="","",INDEX('TEa input'!$AA$6:$AA$68,$I102))</f>
        <v/>
      </c>
      <c r="V102" s="25" t="str">
        <f aca="false">IF(INDEX('TEa input'!$AB$6:$AB$68,$I102)="","",INDEX('TEa input'!$AB$6:$AB$68,$I102))</f>
        <v/>
      </c>
      <c r="W102" s="25" t="str">
        <f aca="false">IF(INDEX('TEa input'!$AC$6:$AC$68,$I102)="","",INDEX('TEa input'!$AC$6:$AC$68,$I102))</f>
        <v/>
      </c>
      <c r="X102" s="25" t="str">
        <f aca="false">IF(INDEX('TEa input'!$AD$6:$AD$68,$I102)="","",INDEX('TEa input'!$AD$6:$AD$68,$I102))</f>
        <v/>
      </c>
      <c r="Y102" s="25" t="str">
        <f aca="false">IF(INDEX('TEa input'!$AF$6:$AF$68,$I102)="","",INDEX('TEa input'!$AF$6:$AF$68,$I102))</f>
        <v/>
      </c>
      <c r="AA102" s="26" t="str">
        <f aca="false">IF(OR(J102="",$E102="",N($E102)&lt;=0),"",(J102-ABS(N($F102)))/$E102)</f>
        <v/>
      </c>
      <c r="AB102" s="26" t="n">
        <f aca="false">IF(OR(K102="",$E102="",N($E102)&lt;=0),"",(K102-ABS(N($F102)))/$E102)</f>
        <v>9.44819391634981</v>
      </c>
      <c r="AC102" s="26" t="n">
        <f aca="false">IF(OR(L102="",$E102="",N($E102)&lt;=0),"",(L102-ABS(N($F102)))/$E102)</f>
        <v>5.64591254752852</v>
      </c>
      <c r="AD102" s="26" t="str">
        <f aca="false">IF(OR(M102="",$E102="",N($E102)&lt;=0),"",(M102-ABS(N($F102)))/$E102)</f>
        <v/>
      </c>
      <c r="AE102" s="26" t="n">
        <f aca="false">IF(OR(N102="",$E102="",N($E102)&lt;=0),"",(N102-ABS(N($F102)))/$E102)</f>
        <v>4.69534220532319</v>
      </c>
      <c r="AF102" s="26" t="str">
        <f aca="false">IF(OR(O102="",$E102="",N($E102)&lt;=0),"",(O102-ABS(N($F102)))/$E102)</f>
        <v/>
      </c>
      <c r="AG102" s="26" t="str">
        <f aca="false">IF(OR(P102="",$E102="",N($E102)&lt;=0),"",(P102-ABS(N($F102)))/$E102)</f>
        <v/>
      </c>
      <c r="AH102" s="26" t="str">
        <f aca="false">IF(OR(Q102="",$E102="",N($E102)&lt;=0),"",(Q102-ABS(N($F102)))/$E102)</f>
        <v/>
      </c>
      <c r="AI102" s="26" t="str">
        <f aca="false">IF(OR(R102="",$E102="",N($E102)&lt;=0),"",(R102-ABS(N($F102)))/$E102)</f>
        <v/>
      </c>
      <c r="AJ102" s="26" t="str">
        <f aca="false">IF(OR(S102="",$E102="",N($E102)&lt;=0),"",(S102-ABS(N($F102)))/$E102)</f>
        <v/>
      </c>
      <c r="AK102" s="26" t="str">
        <f aca="false">IF(OR(T102="",$E102="",N($E102)&lt;=0),"",(T102-ABS(N($F102)))/$E102)</f>
        <v/>
      </c>
      <c r="AL102" s="26" t="str">
        <f aca="false">IF(OR(U102="",$E102="",N($E102)&lt;=0),"",(U102-ABS(N($F102)))/$E102)</f>
        <v/>
      </c>
      <c r="AM102" s="26" t="str">
        <f aca="false">IF(OR(V102="",$E102="",N($E102)&lt;=0),"",(V102-ABS(N($F102)))/$E102)</f>
        <v/>
      </c>
      <c r="AN102" s="26" t="str">
        <f aca="false">IF(OR(W102="",$E102="",N($E102)&lt;=0),"",(W102-ABS(N($F102)))/$E102)</f>
        <v/>
      </c>
      <c r="AO102" s="26" t="str">
        <f aca="false">IF(OR(X102="",$E102="",N($E102)&lt;=0),"",(X102-ABS(N($F102)))/$E102)</f>
        <v/>
      </c>
      <c r="AP102" s="26" t="str">
        <f aca="false">IF(OR(Y102="",$E102="",N($E102)&lt;=0),"",(Y102-ABS(N($F102)))/$E102)</f>
        <v/>
      </c>
    </row>
    <row r="103" customFormat="false" ht="15" hidden="false" customHeight="true" outlineLevel="0" collapsed="false">
      <c r="A103" s="9" t="s">
        <v>242</v>
      </c>
      <c r="B103" s="11" t="s">
        <v>341</v>
      </c>
      <c r="C103" s="11" t="s">
        <v>352</v>
      </c>
      <c r="D103" s="21" t="n">
        <v>64.1529</v>
      </c>
      <c r="E103" s="22" t="n">
        <v>2.62</v>
      </c>
      <c r="F103" s="22" t="n">
        <v>0.078</v>
      </c>
      <c r="G103" s="23" t="n">
        <v>879</v>
      </c>
      <c r="H103" s="11" t="s">
        <v>340</v>
      </c>
      <c r="I103" s="24" t="n">
        <f aca="false">MATCH(A103,'TEa input'!$A$6:$A$68,0)</f>
        <v>46</v>
      </c>
      <c r="J103" s="25" t="str">
        <f aca="false">IF(INDEX('TEa input'!$E$6:$E$68,$I103)="","",INDEX('TEa input'!$E$6:$E$68,$I103))</f>
        <v/>
      </c>
      <c r="K103" s="25" t="n">
        <f aca="false">IF(INDEX('TEa input'!$G$6:$G$68,$I103)="","",INDEX('TEa input'!$G$6:$G$68,$I103))</f>
        <v>20</v>
      </c>
      <c r="L103" s="25" t="n">
        <f aca="false">IF(INDEX('TEa input'!$I$6:$I$68,$I103)="","",INDEX('TEa input'!$I$6:$I$68,$I103))</f>
        <v>12</v>
      </c>
      <c r="M103" s="25" t="str">
        <f aca="false">IF(INDEX('TEa input'!$K$6:$K$68,$I103)="","",INDEX('TEa input'!$K$6:$K$68,$I103))</f>
        <v/>
      </c>
      <c r="N103" s="25" t="n">
        <f aca="false">IF(INDEX('TEa input'!$M$6:$M$68,$I103)="","",INDEX('TEa input'!$M$6:$M$68,$I103))</f>
        <v>10</v>
      </c>
      <c r="O103" s="25" t="str">
        <f aca="false">IF(INDEX('TEa input'!$O$6:$O$68,$I103)="","",INDEX('TEa input'!$O$6:$O$68,$I103))</f>
        <v/>
      </c>
      <c r="P103" s="25" t="str">
        <f aca="false">IF(INDEX('TEa input'!$Q$6:$Q$68,$I103)="","",INDEX('TEa input'!$Q$6:$Q$68,$I103))</f>
        <v/>
      </c>
      <c r="Q103" s="25" t="str">
        <f aca="false">IF(INDEX('TEa input'!$R$6:$R$68,$I103)="","",INDEX('TEa input'!$R$6:$R$68,$I103))</f>
        <v/>
      </c>
      <c r="R103" s="25" t="str">
        <f aca="false">IF(INDEX('TEa input'!$T$6:$T$68,$I103)="","",INDEX('TEa input'!$T$6:$T$68,$I103))</f>
        <v/>
      </c>
      <c r="S103" s="25" t="str">
        <f aca="false">IF(INDEX('TEa input'!$Y$6:$Y$68,$I103)="","",INDEX('TEa input'!$Y$6:$Y$68,$I103))</f>
        <v/>
      </c>
      <c r="T103" s="25" t="str">
        <f aca="false">IF(INDEX('TEa input'!$Z$6:$Z$68,$I103)="","",INDEX('TEa input'!$Z$6:$Z$68,$I103))</f>
        <v/>
      </c>
      <c r="U103" s="25" t="str">
        <f aca="false">IF(INDEX('TEa input'!$AA$6:$AA$68,$I103)="","",INDEX('TEa input'!$AA$6:$AA$68,$I103))</f>
        <v/>
      </c>
      <c r="V103" s="25" t="str">
        <f aca="false">IF(INDEX('TEa input'!$AB$6:$AB$68,$I103)="","",INDEX('TEa input'!$AB$6:$AB$68,$I103))</f>
        <v/>
      </c>
      <c r="W103" s="25" t="str">
        <f aca="false">IF(INDEX('TEa input'!$AC$6:$AC$68,$I103)="","",INDEX('TEa input'!$AC$6:$AC$68,$I103))</f>
        <v/>
      </c>
      <c r="X103" s="25" t="str">
        <f aca="false">IF(INDEX('TEa input'!$AD$6:$AD$68,$I103)="","",INDEX('TEa input'!$AD$6:$AD$68,$I103))</f>
        <v/>
      </c>
      <c r="Y103" s="25" t="str">
        <f aca="false">IF(INDEX('TEa input'!$AF$6:$AF$68,$I103)="","",INDEX('TEa input'!$AF$6:$AF$68,$I103))</f>
        <v/>
      </c>
      <c r="AA103" s="26" t="str">
        <f aca="false">IF(OR(J103="",$E103="",N($E103)&lt;=0),"",(J103-ABS(N($F103)))/$E103)</f>
        <v/>
      </c>
      <c r="AB103" s="26" t="n">
        <f aca="false">IF(OR(K103="",$E103="",N($E103)&lt;=0),"",(K103-ABS(N($F103)))/$E103)</f>
        <v>7.60381679389313</v>
      </c>
      <c r="AC103" s="26" t="n">
        <f aca="false">IF(OR(L103="",$E103="",N($E103)&lt;=0),"",(L103-ABS(N($F103)))/$E103)</f>
        <v>4.55038167938931</v>
      </c>
      <c r="AD103" s="26" t="str">
        <f aca="false">IF(OR(M103="",$E103="",N($E103)&lt;=0),"",(M103-ABS(N($F103)))/$E103)</f>
        <v/>
      </c>
      <c r="AE103" s="26" t="n">
        <f aca="false">IF(OR(N103="",$E103="",N($E103)&lt;=0),"",(N103-ABS(N($F103)))/$E103)</f>
        <v>3.78702290076336</v>
      </c>
      <c r="AF103" s="26" t="str">
        <f aca="false">IF(OR(O103="",$E103="",N($E103)&lt;=0),"",(O103-ABS(N($F103)))/$E103)</f>
        <v/>
      </c>
      <c r="AG103" s="26" t="str">
        <f aca="false">IF(OR(P103="",$E103="",N($E103)&lt;=0),"",(P103-ABS(N($F103)))/$E103)</f>
        <v/>
      </c>
      <c r="AH103" s="26" t="str">
        <f aca="false">IF(OR(Q103="",$E103="",N($E103)&lt;=0),"",(Q103-ABS(N($F103)))/$E103)</f>
        <v/>
      </c>
      <c r="AI103" s="26" t="str">
        <f aca="false">IF(OR(R103="",$E103="",N($E103)&lt;=0),"",(R103-ABS(N($F103)))/$E103)</f>
        <v/>
      </c>
      <c r="AJ103" s="26" t="str">
        <f aca="false">IF(OR(S103="",$E103="",N($E103)&lt;=0),"",(S103-ABS(N($F103)))/$E103)</f>
        <v/>
      </c>
      <c r="AK103" s="26" t="str">
        <f aca="false">IF(OR(T103="",$E103="",N($E103)&lt;=0),"",(T103-ABS(N($F103)))/$E103)</f>
        <v/>
      </c>
      <c r="AL103" s="26" t="str">
        <f aca="false">IF(OR(U103="",$E103="",N($E103)&lt;=0),"",(U103-ABS(N($F103)))/$E103)</f>
        <v/>
      </c>
      <c r="AM103" s="26" t="str">
        <f aca="false">IF(OR(V103="",$E103="",N($E103)&lt;=0),"",(V103-ABS(N($F103)))/$E103)</f>
        <v/>
      </c>
      <c r="AN103" s="26" t="str">
        <f aca="false">IF(OR(W103="",$E103="",N($E103)&lt;=0),"",(W103-ABS(N($F103)))/$E103)</f>
        <v/>
      </c>
      <c r="AO103" s="26" t="str">
        <f aca="false">IF(OR(X103="",$E103="",N($E103)&lt;=0),"",(X103-ABS(N($F103)))/$E103)</f>
        <v/>
      </c>
      <c r="AP103" s="26" t="str">
        <f aca="false">IF(OR(Y103="",$E103="",N($E103)&lt;=0),"",(Y103-ABS(N($F103)))/$E103)</f>
        <v/>
      </c>
    </row>
    <row r="104" customFormat="false" ht="15" hidden="false" customHeight="true" outlineLevel="0" collapsed="false">
      <c r="A104" s="9" t="s">
        <v>246</v>
      </c>
      <c r="B104" s="11" t="s">
        <v>326</v>
      </c>
      <c r="C104" s="11" t="s">
        <v>350</v>
      </c>
      <c r="D104" s="21" t="n">
        <v>97.1421</v>
      </c>
      <c r="E104" s="22" t="n">
        <v>2.829</v>
      </c>
      <c r="F104" s="22" t="n">
        <v>0.584</v>
      </c>
      <c r="G104" s="23" t="n">
        <v>861</v>
      </c>
      <c r="H104" s="11" t="s">
        <v>340</v>
      </c>
      <c r="I104" s="24" t="n">
        <f aca="false">MATCH(A104,'TEa input'!$A$6:$A$68,0)</f>
        <v>47</v>
      </c>
      <c r="J104" s="25" t="str">
        <f aca="false">IF(INDEX('TEa input'!$E$6:$E$68,$I104)="","",INDEX('TEa input'!$E$6:$E$68,$I104))</f>
        <v/>
      </c>
      <c r="K104" s="25" t="n">
        <f aca="false">IF(INDEX('TEa input'!$G$6:$G$68,$I104)="","",INDEX('TEa input'!$G$6:$G$68,$I104))</f>
        <v>15</v>
      </c>
      <c r="L104" s="25" t="str">
        <f aca="false">IF(INDEX('TEa input'!$I$6:$I$68,$I104)="","",INDEX('TEa input'!$I$6:$I$68,$I104))</f>
        <v/>
      </c>
      <c r="M104" s="25" t="str">
        <f aca="false">IF(INDEX('TEa input'!$K$6:$K$68,$I104)="","",INDEX('TEa input'!$K$6:$K$68,$I104))</f>
        <v/>
      </c>
      <c r="N104" s="25" t="n">
        <f aca="false">IF(INDEX('TEa input'!$M$6:$M$68,$I104)="","",INDEX('TEa input'!$M$6:$M$68,$I104))</f>
        <v>10</v>
      </c>
      <c r="O104" s="25" t="str">
        <f aca="false">IF(INDEX('TEa input'!$O$6:$O$68,$I104)="","",INDEX('TEa input'!$O$6:$O$68,$I104))</f>
        <v/>
      </c>
      <c r="P104" s="25" t="str">
        <f aca="false">IF(INDEX('TEa input'!$Q$6:$Q$68,$I104)="","",INDEX('TEa input'!$Q$6:$Q$68,$I104))</f>
        <v/>
      </c>
      <c r="Q104" s="25" t="str">
        <f aca="false">IF(INDEX('TEa input'!$R$6:$R$68,$I104)="","",INDEX('TEa input'!$R$6:$R$68,$I104))</f>
        <v/>
      </c>
      <c r="R104" s="25" t="str">
        <f aca="false">IF(INDEX('TEa input'!$T$6:$T$68,$I104)="","",INDEX('TEa input'!$T$6:$T$68,$I104))</f>
        <v/>
      </c>
      <c r="S104" s="25" t="str">
        <f aca="false">IF(INDEX('TEa input'!$Y$6:$Y$68,$I104)="","",INDEX('TEa input'!$Y$6:$Y$68,$I104))</f>
        <v/>
      </c>
      <c r="T104" s="25" t="str">
        <f aca="false">IF(INDEX('TEa input'!$Z$6:$Z$68,$I104)="","",INDEX('TEa input'!$Z$6:$Z$68,$I104))</f>
        <v/>
      </c>
      <c r="U104" s="25" t="str">
        <f aca="false">IF(INDEX('TEa input'!$AA$6:$AA$68,$I104)="","",INDEX('TEa input'!$AA$6:$AA$68,$I104))</f>
        <v/>
      </c>
      <c r="V104" s="25" t="str">
        <f aca="false">IF(INDEX('TEa input'!$AB$6:$AB$68,$I104)="","",INDEX('TEa input'!$AB$6:$AB$68,$I104))</f>
        <v/>
      </c>
      <c r="W104" s="25" t="str">
        <f aca="false">IF(INDEX('TEa input'!$AC$6:$AC$68,$I104)="","",INDEX('TEa input'!$AC$6:$AC$68,$I104))</f>
        <v/>
      </c>
      <c r="X104" s="25" t="str">
        <f aca="false">IF(INDEX('TEa input'!$AD$6:$AD$68,$I104)="","",INDEX('TEa input'!$AD$6:$AD$68,$I104))</f>
        <v/>
      </c>
      <c r="Y104" s="25" t="str">
        <f aca="false">IF(INDEX('TEa input'!$AF$6:$AF$68,$I104)="","",INDEX('TEa input'!$AF$6:$AF$68,$I104))</f>
        <v/>
      </c>
      <c r="AA104" s="26" t="str">
        <f aca="false">IF(OR(J104="",$E104="",N($E104)&lt;=0),"",(J104-ABS(N($F104)))/$E104)</f>
        <v/>
      </c>
      <c r="AB104" s="26" t="n">
        <f aca="false">IF(OR(K104="",$E104="",N($E104)&lt;=0),"",(K104-ABS(N($F104)))/$E104)</f>
        <v>5.09579356663132</v>
      </c>
      <c r="AC104" s="26" t="str">
        <f aca="false">IF(OR(L104="",$E104="",N($E104)&lt;=0),"",(L104-ABS(N($F104)))/$E104)</f>
        <v/>
      </c>
      <c r="AD104" s="26" t="str">
        <f aca="false">IF(OR(M104="",$E104="",N($E104)&lt;=0),"",(M104-ABS(N($F104)))/$E104)</f>
        <v/>
      </c>
      <c r="AE104" s="26" t="n">
        <f aca="false">IF(OR(N104="",$E104="",N($E104)&lt;=0),"",(N104-ABS(N($F104)))/$E104)</f>
        <v>3.32838458819371</v>
      </c>
      <c r="AF104" s="26" t="str">
        <f aca="false">IF(OR(O104="",$E104="",N($E104)&lt;=0),"",(O104-ABS(N($F104)))/$E104)</f>
        <v/>
      </c>
      <c r="AG104" s="26" t="str">
        <f aca="false">IF(OR(P104="",$E104="",N($E104)&lt;=0),"",(P104-ABS(N($F104)))/$E104)</f>
        <v/>
      </c>
      <c r="AH104" s="26" t="str">
        <f aca="false">IF(OR(Q104="",$E104="",N($E104)&lt;=0),"",(Q104-ABS(N($F104)))/$E104)</f>
        <v/>
      </c>
      <c r="AI104" s="26" t="str">
        <f aca="false">IF(OR(R104="",$E104="",N($E104)&lt;=0),"",(R104-ABS(N($F104)))/$E104)</f>
        <v/>
      </c>
      <c r="AJ104" s="26" t="str">
        <f aca="false">IF(OR(S104="",$E104="",N($E104)&lt;=0),"",(S104-ABS(N($F104)))/$E104)</f>
        <v/>
      </c>
      <c r="AK104" s="26" t="str">
        <f aca="false">IF(OR(T104="",$E104="",N($E104)&lt;=0),"",(T104-ABS(N($F104)))/$E104)</f>
        <v/>
      </c>
      <c r="AL104" s="26" t="str">
        <f aca="false">IF(OR(U104="",$E104="",N($E104)&lt;=0),"",(U104-ABS(N($F104)))/$E104)</f>
        <v/>
      </c>
      <c r="AM104" s="26" t="str">
        <f aca="false">IF(OR(V104="",$E104="",N($E104)&lt;=0),"",(V104-ABS(N($F104)))/$E104)</f>
        <v/>
      </c>
      <c r="AN104" s="26" t="str">
        <f aca="false">IF(OR(W104="",$E104="",N($E104)&lt;=0),"",(W104-ABS(N($F104)))/$E104)</f>
        <v/>
      </c>
      <c r="AO104" s="26" t="str">
        <f aca="false">IF(OR(X104="",$E104="",N($E104)&lt;=0),"",(X104-ABS(N($F104)))/$E104)</f>
        <v/>
      </c>
      <c r="AP104" s="26" t="str">
        <f aca="false">IF(OR(Y104="",$E104="",N($E104)&lt;=0),"",(Y104-ABS(N($F104)))/$E104)</f>
        <v/>
      </c>
    </row>
    <row r="105" customFormat="false" ht="15" hidden="false" customHeight="true" outlineLevel="0" collapsed="false">
      <c r="A105" s="9" t="s">
        <v>246</v>
      </c>
      <c r="B105" s="11" t="s">
        <v>329</v>
      </c>
      <c r="C105" s="11" t="s">
        <v>351</v>
      </c>
      <c r="D105" s="21" t="n">
        <v>265.425</v>
      </c>
      <c r="E105" s="22" t="n">
        <v>3.134</v>
      </c>
      <c r="F105" s="22" t="n">
        <v>0.004</v>
      </c>
      <c r="G105" s="23" t="n">
        <v>857</v>
      </c>
      <c r="H105" s="11" t="s">
        <v>340</v>
      </c>
      <c r="I105" s="24" t="n">
        <f aca="false">MATCH(A105,'TEa input'!$A$6:$A$68,0)</f>
        <v>47</v>
      </c>
      <c r="J105" s="25" t="str">
        <f aca="false">IF(INDEX('TEa input'!$E$6:$E$68,$I105)="","",INDEX('TEa input'!$E$6:$E$68,$I105))</f>
        <v/>
      </c>
      <c r="K105" s="25" t="n">
        <f aca="false">IF(INDEX('TEa input'!$G$6:$G$68,$I105)="","",INDEX('TEa input'!$G$6:$G$68,$I105))</f>
        <v>15</v>
      </c>
      <c r="L105" s="25" t="str">
        <f aca="false">IF(INDEX('TEa input'!$I$6:$I$68,$I105)="","",INDEX('TEa input'!$I$6:$I$68,$I105))</f>
        <v/>
      </c>
      <c r="M105" s="25" t="str">
        <f aca="false">IF(INDEX('TEa input'!$K$6:$K$68,$I105)="","",INDEX('TEa input'!$K$6:$K$68,$I105))</f>
        <v/>
      </c>
      <c r="N105" s="25" t="n">
        <f aca="false">IF(INDEX('TEa input'!$M$6:$M$68,$I105)="","",INDEX('TEa input'!$M$6:$M$68,$I105))</f>
        <v>10</v>
      </c>
      <c r="O105" s="25" t="str">
        <f aca="false">IF(INDEX('TEa input'!$O$6:$O$68,$I105)="","",INDEX('TEa input'!$O$6:$O$68,$I105))</f>
        <v/>
      </c>
      <c r="P105" s="25" t="str">
        <f aca="false">IF(INDEX('TEa input'!$Q$6:$Q$68,$I105)="","",INDEX('TEa input'!$Q$6:$Q$68,$I105))</f>
        <v/>
      </c>
      <c r="Q105" s="25" t="str">
        <f aca="false">IF(INDEX('TEa input'!$R$6:$R$68,$I105)="","",INDEX('TEa input'!$R$6:$R$68,$I105))</f>
        <v/>
      </c>
      <c r="R105" s="25" t="str">
        <f aca="false">IF(INDEX('TEa input'!$T$6:$T$68,$I105)="","",INDEX('TEa input'!$T$6:$T$68,$I105))</f>
        <v/>
      </c>
      <c r="S105" s="25" t="str">
        <f aca="false">IF(INDEX('TEa input'!$Y$6:$Y$68,$I105)="","",INDEX('TEa input'!$Y$6:$Y$68,$I105))</f>
        <v/>
      </c>
      <c r="T105" s="25" t="str">
        <f aca="false">IF(INDEX('TEa input'!$Z$6:$Z$68,$I105)="","",INDEX('TEa input'!$Z$6:$Z$68,$I105))</f>
        <v/>
      </c>
      <c r="U105" s="25" t="str">
        <f aca="false">IF(INDEX('TEa input'!$AA$6:$AA$68,$I105)="","",INDEX('TEa input'!$AA$6:$AA$68,$I105))</f>
        <v/>
      </c>
      <c r="V105" s="25" t="str">
        <f aca="false">IF(INDEX('TEa input'!$AB$6:$AB$68,$I105)="","",INDEX('TEa input'!$AB$6:$AB$68,$I105))</f>
        <v/>
      </c>
      <c r="W105" s="25" t="str">
        <f aca="false">IF(INDEX('TEa input'!$AC$6:$AC$68,$I105)="","",INDEX('TEa input'!$AC$6:$AC$68,$I105))</f>
        <v/>
      </c>
      <c r="X105" s="25" t="str">
        <f aca="false">IF(INDEX('TEa input'!$AD$6:$AD$68,$I105)="","",INDEX('TEa input'!$AD$6:$AD$68,$I105))</f>
        <v/>
      </c>
      <c r="Y105" s="25" t="str">
        <f aca="false">IF(INDEX('TEa input'!$AF$6:$AF$68,$I105)="","",INDEX('TEa input'!$AF$6:$AF$68,$I105))</f>
        <v/>
      </c>
      <c r="AA105" s="26" t="str">
        <f aca="false">IF(OR(J105="",$E105="",N($E105)&lt;=0),"",(J105-ABS(N($F105)))/$E105)</f>
        <v/>
      </c>
      <c r="AB105" s="26" t="n">
        <f aca="false">IF(OR(K105="",$E105="",N($E105)&lt;=0),"",(K105-ABS(N($F105)))/$E105)</f>
        <v>4.78493937460115</v>
      </c>
      <c r="AC105" s="26" t="str">
        <f aca="false">IF(OR(L105="",$E105="",N($E105)&lt;=0),"",(L105-ABS(N($F105)))/$E105)</f>
        <v/>
      </c>
      <c r="AD105" s="26" t="str">
        <f aca="false">IF(OR(M105="",$E105="",N($E105)&lt;=0),"",(M105-ABS(N($F105)))/$E105)</f>
        <v/>
      </c>
      <c r="AE105" s="26" t="n">
        <f aca="false">IF(OR(N105="",$E105="",N($E105)&lt;=0),"",(N105-ABS(N($F105)))/$E105)</f>
        <v>3.18953414167199</v>
      </c>
      <c r="AF105" s="26" t="str">
        <f aca="false">IF(OR(O105="",$E105="",N($E105)&lt;=0),"",(O105-ABS(N($F105)))/$E105)</f>
        <v/>
      </c>
      <c r="AG105" s="26" t="str">
        <f aca="false">IF(OR(P105="",$E105="",N($E105)&lt;=0),"",(P105-ABS(N($F105)))/$E105)</f>
        <v/>
      </c>
      <c r="AH105" s="26" t="str">
        <f aca="false">IF(OR(Q105="",$E105="",N($E105)&lt;=0),"",(Q105-ABS(N($F105)))/$E105)</f>
        <v/>
      </c>
      <c r="AI105" s="26" t="str">
        <f aca="false">IF(OR(R105="",$E105="",N($E105)&lt;=0),"",(R105-ABS(N($F105)))/$E105)</f>
        <v/>
      </c>
      <c r="AJ105" s="26" t="str">
        <f aca="false">IF(OR(S105="",$E105="",N($E105)&lt;=0),"",(S105-ABS(N($F105)))/$E105)</f>
        <v/>
      </c>
      <c r="AK105" s="26" t="str">
        <f aca="false">IF(OR(T105="",$E105="",N($E105)&lt;=0),"",(T105-ABS(N($F105)))/$E105)</f>
        <v/>
      </c>
      <c r="AL105" s="26" t="str">
        <f aca="false">IF(OR(U105="",$E105="",N($E105)&lt;=0),"",(U105-ABS(N($F105)))/$E105)</f>
        <v/>
      </c>
      <c r="AM105" s="26" t="str">
        <f aca="false">IF(OR(V105="",$E105="",N($E105)&lt;=0),"",(V105-ABS(N($F105)))/$E105)</f>
        <v/>
      </c>
      <c r="AN105" s="26" t="str">
        <f aca="false">IF(OR(W105="",$E105="",N($E105)&lt;=0),"",(W105-ABS(N($F105)))/$E105)</f>
        <v/>
      </c>
      <c r="AO105" s="26" t="str">
        <f aca="false">IF(OR(X105="",$E105="",N($E105)&lt;=0),"",(X105-ABS(N($F105)))/$E105)</f>
        <v/>
      </c>
      <c r="AP105" s="26" t="str">
        <f aca="false">IF(OR(Y105="",$E105="",N($E105)&lt;=0),"",(Y105-ABS(N($F105)))/$E105)</f>
        <v/>
      </c>
    </row>
    <row r="106" customFormat="false" ht="15" hidden="false" customHeight="true" outlineLevel="0" collapsed="false">
      <c r="A106" s="9" t="s">
        <v>246</v>
      </c>
      <c r="B106" s="11" t="s">
        <v>341</v>
      </c>
      <c r="C106" s="11" t="s">
        <v>352</v>
      </c>
      <c r="D106" s="21" t="n">
        <v>738.456</v>
      </c>
      <c r="E106" s="22" t="n">
        <v>4.182</v>
      </c>
      <c r="F106" s="22" t="n">
        <v>0.206</v>
      </c>
      <c r="G106" s="23" t="n">
        <v>844</v>
      </c>
      <c r="H106" s="11" t="s">
        <v>340</v>
      </c>
      <c r="I106" s="24" t="n">
        <f aca="false">MATCH(A106,'TEa input'!$A$6:$A$68,0)</f>
        <v>47</v>
      </c>
      <c r="J106" s="25" t="str">
        <f aca="false">IF(INDEX('TEa input'!$E$6:$E$68,$I106)="","",INDEX('TEa input'!$E$6:$E$68,$I106))</f>
        <v/>
      </c>
      <c r="K106" s="25" t="n">
        <f aca="false">IF(INDEX('TEa input'!$G$6:$G$68,$I106)="","",INDEX('TEa input'!$G$6:$G$68,$I106))</f>
        <v>15</v>
      </c>
      <c r="L106" s="25" t="str">
        <f aca="false">IF(INDEX('TEa input'!$I$6:$I$68,$I106)="","",INDEX('TEa input'!$I$6:$I$68,$I106))</f>
        <v/>
      </c>
      <c r="M106" s="25" t="str">
        <f aca="false">IF(INDEX('TEa input'!$K$6:$K$68,$I106)="","",INDEX('TEa input'!$K$6:$K$68,$I106))</f>
        <v/>
      </c>
      <c r="N106" s="25" t="n">
        <f aca="false">IF(INDEX('TEa input'!$M$6:$M$68,$I106)="","",INDEX('TEa input'!$M$6:$M$68,$I106))</f>
        <v>10</v>
      </c>
      <c r="O106" s="25" t="str">
        <f aca="false">IF(INDEX('TEa input'!$O$6:$O$68,$I106)="","",INDEX('TEa input'!$O$6:$O$68,$I106))</f>
        <v/>
      </c>
      <c r="P106" s="25" t="str">
        <f aca="false">IF(INDEX('TEa input'!$Q$6:$Q$68,$I106)="","",INDEX('TEa input'!$Q$6:$Q$68,$I106))</f>
        <v/>
      </c>
      <c r="Q106" s="25" t="str">
        <f aca="false">IF(INDEX('TEa input'!$R$6:$R$68,$I106)="","",INDEX('TEa input'!$R$6:$R$68,$I106))</f>
        <v/>
      </c>
      <c r="R106" s="25" t="str">
        <f aca="false">IF(INDEX('TEa input'!$T$6:$T$68,$I106)="","",INDEX('TEa input'!$T$6:$T$68,$I106))</f>
        <v/>
      </c>
      <c r="S106" s="25" t="str">
        <f aca="false">IF(INDEX('TEa input'!$Y$6:$Y$68,$I106)="","",INDEX('TEa input'!$Y$6:$Y$68,$I106))</f>
        <v/>
      </c>
      <c r="T106" s="25" t="str">
        <f aca="false">IF(INDEX('TEa input'!$Z$6:$Z$68,$I106)="","",INDEX('TEa input'!$Z$6:$Z$68,$I106))</f>
        <v/>
      </c>
      <c r="U106" s="25" t="str">
        <f aca="false">IF(INDEX('TEa input'!$AA$6:$AA$68,$I106)="","",INDEX('TEa input'!$AA$6:$AA$68,$I106))</f>
        <v/>
      </c>
      <c r="V106" s="25" t="str">
        <f aca="false">IF(INDEX('TEa input'!$AB$6:$AB$68,$I106)="","",INDEX('TEa input'!$AB$6:$AB$68,$I106))</f>
        <v/>
      </c>
      <c r="W106" s="25" t="str">
        <f aca="false">IF(INDEX('TEa input'!$AC$6:$AC$68,$I106)="","",INDEX('TEa input'!$AC$6:$AC$68,$I106))</f>
        <v/>
      </c>
      <c r="X106" s="25" t="str">
        <f aca="false">IF(INDEX('TEa input'!$AD$6:$AD$68,$I106)="","",INDEX('TEa input'!$AD$6:$AD$68,$I106))</f>
        <v/>
      </c>
      <c r="Y106" s="25" t="str">
        <f aca="false">IF(INDEX('TEa input'!$AF$6:$AF$68,$I106)="","",INDEX('TEa input'!$AF$6:$AF$68,$I106))</f>
        <v/>
      </c>
      <c r="AA106" s="26" t="str">
        <f aca="false">IF(OR(J106="",$E106="",N($E106)&lt;=0),"",(J106-ABS(N($F106)))/$E106)</f>
        <v/>
      </c>
      <c r="AB106" s="26" t="n">
        <f aca="false">IF(OR(K106="",$E106="",N($E106)&lt;=0),"",(K106-ABS(N($F106)))/$E106)</f>
        <v>3.5375418460067</v>
      </c>
      <c r="AC106" s="26" t="str">
        <f aca="false">IF(OR(L106="",$E106="",N($E106)&lt;=0),"",(L106-ABS(N($F106)))/$E106)</f>
        <v/>
      </c>
      <c r="AD106" s="26" t="str">
        <f aca="false">IF(OR(M106="",$E106="",N($E106)&lt;=0),"",(M106-ABS(N($F106)))/$E106)</f>
        <v/>
      </c>
      <c r="AE106" s="26" t="n">
        <f aca="false">IF(OR(N106="",$E106="",N($E106)&lt;=0),"",(N106-ABS(N($F106)))/$E106)</f>
        <v>2.34194165471066</v>
      </c>
      <c r="AF106" s="26" t="str">
        <f aca="false">IF(OR(O106="",$E106="",N($E106)&lt;=0),"",(O106-ABS(N($F106)))/$E106)</f>
        <v/>
      </c>
      <c r="AG106" s="26" t="str">
        <f aca="false">IF(OR(P106="",$E106="",N($E106)&lt;=0),"",(P106-ABS(N($F106)))/$E106)</f>
        <v/>
      </c>
      <c r="AH106" s="26" t="str">
        <f aca="false">IF(OR(Q106="",$E106="",N($E106)&lt;=0),"",(Q106-ABS(N($F106)))/$E106)</f>
        <v/>
      </c>
      <c r="AI106" s="26" t="str">
        <f aca="false">IF(OR(R106="",$E106="",N($E106)&lt;=0),"",(R106-ABS(N($F106)))/$E106)</f>
        <v/>
      </c>
      <c r="AJ106" s="26" t="str">
        <f aca="false">IF(OR(S106="",$E106="",N($E106)&lt;=0),"",(S106-ABS(N($F106)))/$E106)</f>
        <v/>
      </c>
      <c r="AK106" s="26" t="str">
        <f aca="false">IF(OR(T106="",$E106="",N($E106)&lt;=0),"",(T106-ABS(N($F106)))/$E106)</f>
        <v/>
      </c>
      <c r="AL106" s="26" t="str">
        <f aca="false">IF(OR(U106="",$E106="",N($E106)&lt;=0),"",(U106-ABS(N($F106)))/$E106)</f>
        <v/>
      </c>
      <c r="AM106" s="26" t="str">
        <f aca="false">IF(OR(V106="",$E106="",N($E106)&lt;=0),"",(V106-ABS(N($F106)))/$E106)</f>
        <v/>
      </c>
      <c r="AN106" s="26" t="str">
        <f aca="false">IF(OR(W106="",$E106="",N($E106)&lt;=0),"",(W106-ABS(N($F106)))/$E106)</f>
        <v/>
      </c>
      <c r="AO106" s="26" t="str">
        <f aca="false">IF(OR(X106="",$E106="",N($E106)&lt;=0),"",(X106-ABS(N($F106)))/$E106)</f>
        <v/>
      </c>
      <c r="AP106" s="26" t="str">
        <f aca="false">IF(OR(Y106="",$E106="",N($E106)&lt;=0),"",(Y106-ABS(N($F106)))/$E106)</f>
        <v/>
      </c>
    </row>
    <row r="107" customFormat="false" ht="15" hidden="false" customHeight="true" outlineLevel="0" collapsed="false">
      <c r="A107" s="9" t="s">
        <v>250</v>
      </c>
      <c r="B107" s="11" t="s">
        <v>326</v>
      </c>
      <c r="C107" s="11" t="s">
        <v>334</v>
      </c>
      <c r="D107" s="21" t="n">
        <v>17.0291</v>
      </c>
      <c r="E107" s="22" t="n">
        <v>3.519</v>
      </c>
      <c r="F107" s="22" t="n">
        <v>0.663</v>
      </c>
      <c r="G107" s="23" t="n">
        <v>1801</v>
      </c>
      <c r="H107" s="11" t="s">
        <v>338</v>
      </c>
      <c r="I107" s="24" t="n">
        <f aca="false">MATCH(A107,'TEa input'!$A$6:$A$68,0)</f>
        <v>48</v>
      </c>
      <c r="J107" s="25" t="str">
        <f aca="false">IF(INDEX('TEa input'!$E$6:$E$68,$I107)="","",INDEX('TEa input'!$E$6:$E$68,$I107))</f>
        <v/>
      </c>
      <c r="K107" s="25" t="n">
        <f aca="false">IF(INDEX('TEa input'!$G$6:$G$68,$I107)="","",INDEX('TEa input'!$G$6:$G$68,$I107))</f>
        <v>15</v>
      </c>
      <c r="L107" s="25" t="n">
        <f aca="false">IF(INDEX('TEa input'!$I$6:$I$68,$I107)="","",INDEX('TEa input'!$I$6:$I$68,$I107))</f>
        <v>13</v>
      </c>
      <c r="M107" s="25" t="str">
        <f aca="false">IF(INDEX('TEa input'!$K$6:$K$68,$I107)="","",INDEX('TEa input'!$K$6:$K$68,$I107))</f>
        <v/>
      </c>
      <c r="N107" s="25" t="n">
        <f aca="false">IF(INDEX('TEa input'!$M$6:$M$68,$I107)="","",INDEX('TEa input'!$M$6:$M$68,$I107))</f>
        <v>12</v>
      </c>
      <c r="O107" s="25" t="n">
        <f aca="false">IF(INDEX('TEa input'!$O$6:$O$68,$I107)="","",INDEX('TEa input'!$O$6:$O$68,$I107))</f>
        <v>20</v>
      </c>
      <c r="P107" s="25" t="n">
        <f aca="false">IF(INDEX('TEa input'!$Q$6:$Q$68,$I107)="","",INDEX('TEa input'!$Q$6:$Q$68,$I107))</f>
        <v>13</v>
      </c>
      <c r="Q107" s="25" t="str">
        <f aca="false">IF(INDEX('TEa input'!$R$6:$R$68,$I107)="","",INDEX('TEa input'!$R$6:$R$68,$I107))</f>
        <v/>
      </c>
      <c r="R107" s="25" t="n">
        <f aca="false">IF(INDEX('TEa input'!$T$6:$T$68,$I107)="","",INDEX('TEa input'!$T$6:$T$68,$I107))</f>
        <v>20</v>
      </c>
      <c r="S107" s="25" t="str">
        <f aca="false">IF(INDEX('TEa input'!$Y$6:$Y$68,$I107)="","",INDEX('TEa input'!$Y$6:$Y$68,$I107))</f>
        <v/>
      </c>
      <c r="T107" s="25" t="str">
        <f aca="false">IF(INDEX('TEa input'!$Z$6:$Z$68,$I107)="","",INDEX('TEa input'!$Z$6:$Z$68,$I107))</f>
        <v/>
      </c>
      <c r="U107" s="25" t="str">
        <f aca="false">IF(INDEX('TEa input'!$AA$6:$AA$68,$I107)="","",INDEX('TEa input'!$AA$6:$AA$68,$I107))</f>
        <v/>
      </c>
      <c r="V107" s="25" t="str">
        <f aca="false">IF(INDEX('TEa input'!$AB$6:$AB$68,$I107)="","",INDEX('TEa input'!$AB$6:$AB$68,$I107))</f>
        <v/>
      </c>
      <c r="W107" s="25" t="n">
        <f aca="false">IF(INDEX('TEa input'!$AC$6:$AC$68,$I107)="","",INDEX('TEa input'!$AC$6:$AC$68,$I107))</f>
        <v>8</v>
      </c>
      <c r="X107" s="25" t="str">
        <f aca="false">IF(INDEX('TEa input'!$AD$6:$AD$68,$I107)="","",INDEX('TEa input'!$AD$6:$AD$68,$I107))</f>
        <v/>
      </c>
      <c r="Y107" s="25" t="str">
        <f aca="false">IF(INDEX('TEa input'!$AF$6:$AF$68,$I107)="","",INDEX('TEa input'!$AF$6:$AF$68,$I107))</f>
        <v/>
      </c>
      <c r="AA107" s="26" t="str">
        <f aca="false">IF(OR(J107="",$E107="",N($E107)&lt;=0),"",(J107-ABS(N($F107)))/$E107)</f>
        <v/>
      </c>
      <c r="AB107" s="26" t="n">
        <f aca="false">IF(OR(K107="",$E107="",N($E107)&lt;=0),"",(K107-ABS(N($F107)))/$E107)</f>
        <v>4.07416879795396</v>
      </c>
      <c r="AC107" s="26" t="n">
        <f aca="false">IF(OR(L107="",$E107="",N($E107)&lt;=0),"",(L107-ABS(N($F107)))/$E107)</f>
        <v>3.50582551861324</v>
      </c>
      <c r="AD107" s="26" t="str">
        <f aca="false">IF(OR(M107="",$E107="",N($E107)&lt;=0),"",(M107-ABS(N($F107)))/$E107)</f>
        <v/>
      </c>
      <c r="AE107" s="26" t="n">
        <f aca="false">IF(OR(N107="",$E107="",N($E107)&lt;=0),"",(N107-ABS(N($F107)))/$E107)</f>
        <v>3.22165387894288</v>
      </c>
      <c r="AF107" s="26" t="n">
        <f aca="false">IF(OR(O107="",$E107="",N($E107)&lt;=0),"",(O107-ABS(N($F107)))/$E107)</f>
        <v>5.49502699630577</v>
      </c>
      <c r="AG107" s="26" t="n">
        <f aca="false">IF(OR(P107="",$E107="",N($E107)&lt;=0),"",(P107-ABS(N($F107)))/$E107)</f>
        <v>3.50582551861324</v>
      </c>
      <c r="AH107" s="26" t="str">
        <f aca="false">IF(OR(Q107="",$E107="",N($E107)&lt;=0),"",(Q107-ABS(N($F107)))/$E107)</f>
        <v/>
      </c>
      <c r="AI107" s="26" t="n">
        <f aca="false">IF(OR(R107="",$E107="",N($E107)&lt;=0),"",(R107-ABS(N($F107)))/$E107)</f>
        <v>5.49502699630577</v>
      </c>
      <c r="AJ107" s="26" t="str">
        <f aca="false">IF(OR(S107="",$E107="",N($E107)&lt;=0),"",(S107-ABS(N($F107)))/$E107)</f>
        <v/>
      </c>
      <c r="AK107" s="26" t="str">
        <f aca="false">IF(OR(T107="",$E107="",N($E107)&lt;=0),"",(T107-ABS(N($F107)))/$E107)</f>
        <v/>
      </c>
      <c r="AL107" s="26" t="str">
        <f aca="false">IF(OR(U107="",$E107="",N($E107)&lt;=0),"",(U107-ABS(N($F107)))/$E107)</f>
        <v/>
      </c>
      <c r="AM107" s="26" t="str">
        <f aca="false">IF(OR(V107="",$E107="",N($E107)&lt;=0),"",(V107-ABS(N($F107)))/$E107)</f>
        <v/>
      </c>
      <c r="AN107" s="26" t="n">
        <f aca="false">IF(OR(W107="",$E107="",N($E107)&lt;=0),"",(W107-ABS(N($F107)))/$E107)</f>
        <v>2.08496732026144</v>
      </c>
      <c r="AO107" s="26" t="str">
        <f aca="false">IF(OR(X107="",$E107="",N($E107)&lt;=0),"",(X107-ABS(N($F107)))/$E107)</f>
        <v/>
      </c>
      <c r="AP107" s="26" t="str">
        <f aca="false">IF(OR(Y107="",$E107="",N($E107)&lt;=0),"",(Y107-ABS(N($F107)))/$E107)</f>
        <v/>
      </c>
    </row>
    <row r="108" customFormat="false" ht="15" hidden="false" customHeight="true" outlineLevel="0" collapsed="false">
      <c r="A108" s="9" t="s">
        <v>250</v>
      </c>
      <c r="B108" s="11" t="s">
        <v>329</v>
      </c>
      <c r="C108" s="11" t="s">
        <v>336</v>
      </c>
      <c r="D108" s="21" t="n">
        <v>33.4832</v>
      </c>
      <c r="E108" s="22" t="n">
        <v>3.119</v>
      </c>
      <c r="F108" s="22" t="n">
        <v>1.284</v>
      </c>
      <c r="G108" s="23" t="n">
        <v>1789</v>
      </c>
      <c r="H108" s="11" t="s">
        <v>338</v>
      </c>
      <c r="I108" s="24" t="n">
        <f aca="false">MATCH(A108,'TEa input'!$A$6:$A$68,0)</f>
        <v>48</v>
      </c>
      <c r="J108" s="25" t="str">
        <f aca="false">IF(INDEX('TEa input'!$E$6:$E$68,$I108)="","",INDEX('TEa input'!$E$6:$E$68,$I108))</f>
        <v/>
      </c>
      <c r="K108" s="25" t="n">
        <f aca="false">IF(INDEX('TEa input'!$G$6:$G$68,$I108)="","",INDEX('TEa input'!$G$6:$G$68,$I108))</f>
        <v>15</v>
      </c>
      <c r="L108" s="25" t="n">
        <f aca="false">IF(INDEX('TEa input'!$I$6:$I$68,$I108)="","",INDEX('TEa input'!$I$6:$I$68,$I108))</f>
        <v>13</v>
      </c>
      <c r="M108" s="25" t="str">
        <f aca="false">IF(INDEX('TEa input'!$K$6:$K$68,$I108)="","",INDEX('TEa input'!$K$6:$K$68,$I108))</f>
        <v/>
      </c>
      <c r="N108" s="25" t="n">
        <f aca="false">IF(INDEX('TEa input'!$M$6:$M$68,$I108)="","",INDEX('TEa input'!$M$6:$M$68,$I108))</f>
        <v>12</v>
      </c>
      <c r="O108" s="25" t="n">
        <f aca="false">IF(INDEX('TEa input'!$O$6:$O$68,$I108)="","",INDEX('TEa input'!$O$6:$O$68,$I108))</f>
        <v>20</v>
      </c>
      <c r="P108" s="25" t="n">
        <f aca="false">IF(INDEX('TEa input'!$Q$6:$Q$68,$I108)="","",INDEX('TEa input'!$Q$6:$Q$68,$I108))</f>
        <v>13</v>
      </c>
      <c r="Q108" s="25" t="str">
        <f aca="false">IF(INDEX('TEa input'!$R$6:$R$68,$I108)="","",INDEX('TEa input'!$R$6:$R$68,$I108))</f>
        <v/>
      </c>
      <c r="R108" s="25" t="n">
        <f aca="false">IF(INDEX('TEa input'!$T$6:$T$68,$I108)="","",INDEX('TEa input'!$T$6:$T$68,$I108))</f>
        <v>20</v>
      </c>
      <c r="S108" s="25" t="str">
        <f aca="false">IF(INDEX('TEa input'!$Y$6:$Y$68,$I108)="","",INDEX('TEa input'!$Y$6:$Y$68,$I108))</f>
        <v/>
      </c>
      <c r="T108" s="25" t="str">
        <f aca="false">IF(INDEX('TEa input'!$Z$6:$Z$68,$I108)="","",INDEX('TEa input'!$Z$6:$Z$68,$I108))</f>
        <v/>
      </c>
      <c r="U108" s="25" t="str">
        <f aca="false">IF(INDEX('TEa input'!$AA$6:$AA$68,$I108)="","",INDEX('TEa input'!$AA$6:$AA$68,$I108))</f>
        <v/>
      </c>
      <c r="V108" s="25" t="str">
        <f aca="false">IF(INDEX('TEa input'!$AB$6:$AB$68,$I108)="","",INDEX('TEa input'!$AB$6:$AB$68,$I108))</f>
        <v/>
      </c>
      <c r="W108" s="25" t="n">
        <f aca="false">IF(INDEX('TEa input'!$AC$6:$AC$68,$I108)="","",INDEX('TEa input'!$AC$6:$AC$68,$I108))</f>
        <v>8</v>
      </c>
      <c r="X108" s="25" t="str">
        <f aca="false">IF(INDEX('TEa input'!$AD$6:$AD$68,$I108)="","",INDEX('TEa input'!$AD$6:$AD$68,$I108))</f>
        <v/>
      </c>
      <c r="Y108" s="25" t="str">
        <f aca="false">IF(INDEX('TEa input'!$AF$6:$AF$68,$I108)="","",INDEX('TEa input'!$AF$6:$AF$68,$I108))</f>
        <v/>
      </c>
      <c r="AA108" s="26" t="str">
        <f aca="false">IF(OR(J108="",$E108="",N($E108)&lt;=0),"",(J108-ABS(N($F108)))/$E108)</f>
        <v/>
      </c>
      <c r="AB108" s="26" t="n">
        <f aca="false">IF(OR(K108="",$E108="",N($E108)&lt;=0),"",(K108-ABS(N($F108)))/$E108)</f>
        <v>4.39756332157743</v>
      </c>
      <c r="AC108" s="26" t="n">
        <f aca="false">IF(OR(L108="",$E108="",N($E108)&lt;=0),"",(L108-ABS(N($F108)))/$E108)</f>
        <v>3.75633215774287</v>
      </c>
      <c r="AD108" s="26" t="str">
        <f aca="false">IF(OR(M108="",$E108="",N($E108)&lt;=0),"",(M108-ABS(N($F108)))/$E108)</f>
        <v/>
      </c>
      <c r="AE108" s="26" t="n">
        <f aca="false">IF(OR(N108="",$E108="",N($E108)&lt;=0),"",(N108-ABS(N($F108)))/$E108)</f>
        <v>3.43571657582558</v>
      </c>
      <c r="AF108" s="26" t="n">
        <f aca="false">IF(OR(O108="",$E108="",N($E108)&lt;=0),"",(O108-ABS(N($F108)))/$E108)</f>
        <v>6.00064123116384</v>
      </c>
      <c r="AG108" s="26" t="n">
        <f aca="false">IF(OR(P108="",$E108="",N($E108)&lt;=0),"",(P108-ABS(N($F108)))/$E108)</f>
        <v>3.75633215774287</v>
      </c>
      <c r="AH108" s="26" t="str">
        <f aca="false">IF(OR(Q108="",$E108="",N($E108)&lt;=0),"",(Q108-ABS(N($F108)))/$E108)</f>
        <v/>
      </c>
      <c r="AI108" s="26" t="n">
        <f aca="false">IF(OR(R108="",$E108="",N($E108)&lt;=0),"",(R108-ABS(N($F108)))/$E108)</f>
        <v>6.00064123116384</v>
      </c>
      <c r="AJ108" s="26" t="str">
        <f aca="false">IF(OR(S108="",$E108="",N($E108)&lt;=0),"",(S108-ABS(N($F108)))/$E108)</f>
        <v/>
      </c>
      <c r="AK108" s="26" t="str">
        <f aca="false">IF(OR(T108="",$E108="",N($E108)&lt;=0),"",(T108-ABS(N($F108)))/$E108)</f>
        <v/>
      </c>
      <c r="AL108" s="26" t="str">
        <f aca="false">IF(OR(U108="",$E108="",N($E108)&lt;=0),"",(U108-ABS(N($F108)))/$E108)</f>
        <v/>
      </c>
      <c r="AM108" s="26" t="str">
        <f aca="false">IF(OR(V108="",$E108="",N($E108)&lt;=0),"",(V108-ABS(N($F108)))/$E108)</f>
        <v/>
      </c>
      <c r="AN108" s="26" t="n">
        <f aca="false">IF(OR(W108="",$E108="",N($E108)&lt;=0),"",(W108-ABS(N($F108)))/$E108)</f>
        <v>2.15325424815646</v>
      </c>
      <c r="AO108" s="26" t="str">
        <f aca="false">IF(OR(X108="",$E108="",N($E108)&lt;=0),"",(X108-ABS(N($F108)))/$E108)</f>
        <v/>
      </c>
      <c r="AP108" s="26" t="str">
        <f aca="false">IF(OR(Y108="",$E108="",N($E108)&lt;=0),"",(Y108-ABS(N($F108)))/$E108)</f>
        <v/>
      </c>
    </row>
    <row r="109" customFormat="false" ht="15" hidden="false" customHeight="true" outlineLevel="0" collapsed="false">
      <c r="A109" s="9" t="s">
        <v>256</v>
      </c>
      <c r="B109" s="11" t="s">
        <v>326</v>
      </c>
      <c r="C109" s="11" t="s">
        <v>334</v>
      </c>
      <c r="D109" s="21" t="n">
        <v>5.58106</v>
      </c>
      <c r="E109" s="22" t="n">
        <v>4.223</v>
      </c>
      <c r="F109" s="22" t="n">
        <v>1.094</v>
      </c>
      <c r="G109" s="23" t="n">
        <v>1003</v>
      </c>
      <c r="H109" s="11" t="s">
        <v>335</v>
      </c>
      <c r="I109" s="24" t="n">
        <f aca="false">MATCH(A109,'TEa input'!$A$6:$A$68,0)</f>
        <v>49</v>
      </c>
      <c r="J109" s="25" t="str">
        <f aca="false">IF(INDEX('TEa input'!$E$6:$E$68,$I109)="","",INDEX('TEa input'!$E$6:$E$68,$I109))</f>
        <v/>
      </c>
      <c r="K109" s="25" t="str">
        <f aca="false">IF(INDEX('TEa input'!$G$6:$G$68,$I109)="","",INDEX('TEa input'!$G$6:$G$68,$I109))</f>
        <v/>
      </c>
      <c r="L109" s="25" t="n">
        <f aca="false">IF(INDEX('TEa input'!$I$6:$I$68,$I109)="","",INDEX('TEa input'!$I$6:$I$68,$I109))</f>
        <v>13</v>
      </c>
      <c r="M109" s="25" t="str">
        <f aca="false">IF(INDEX('TEa input'!$K$6:$K$68,$I109)="","",INDEX('TEa input'!$K$6:$K$68,$I109))</f>
        <v/>
      </c>
      <c r="N109" s="25" t="n">
        <f aca="false">IF(INDEX('TEa input'!$M$6:$M$68,$I109)="","",INDEX('TEa input'!$M$6:$M$68,$I109))</f>
        <v>20</v>
      </c>
      <c r="O109" s="25" t="n">
        <f aca="false">IF(INDEX('TEa input'!$O$6:$O$68,$I109)="","",INDEX('TEa input'!$O$6:$O$68,$I109))</f>
        <v>20</v>
      </c>
      <c r="P109" s="25" t="str">
        <f aca="false">IF(INDEX('TEa input'!$Q$6:$Q$68,$I109)="","",INDEX('TEa input'!$Q$6:$Q$68,$I109))</f>
        <v/>
      </c>
      <c r="Q109" s="25" t="str">
        <f aca="false">IF(INDEX('TEa input'!$R$6:$R$68,$I109)="","",INDEX('TEa input'!$R$6:$R$68,$I109))</f>
        <v/>
      </c>
      <c r="R109" s="25" t="str">
        <f aca="false">IF(INDEX('TEa input'!$T$6:$T$68,$I109)="","",INDEX('TEa input'!$T$6:$T$68,$I109))</f>
        <v/>
      </c>
      <c r="S109" s="25" t="str">
        <f aca="false">IF(INDEX('TEa input'!$Y$6:$Y$68,$I109)="","",INDEX('TEa input'!$Y$6:$Y$68,$I109))</f>
        <v/>
      </c>
      <c r="T109" s="25" t="str">
        <f aca="false">IF(INDEX('TEa input'!$Z$6:$Z$68,$I109)="","",INDEX('TEa input'!$Z$6:$Z$68,$I109))</f>
        <v/>
      </c>
      <c r="U109" s="25" t="str">
        <f aca="false">IF(INDEX('TEa input'!$AA$6:$AA$68,$I109)="","",INDEX('TEa input'!$AA$6:$AA$68,$I109))</f>
        <v/>
      </c>
      <c r="V109" s="25" t="str">
        <f aca="false">IF(INDEX('TEa input'!$AB$6:$AB$68,$I109)="","",INDEX('TEa input'!$AB$6:$AB$68,$I109))</f>
        <v/>
      </c>
      <c r="W109" s="25" t="str">
        <f aca="false">IF(INDEX('TEa input'!$AC$6:$AC$68,$I109)="","",INDEX('TEa input'!$AC$6:$AC$68,$I109))</f>
        <v/>
      </c>
      <c r="X109" s="25" t="str">
        <f aca="false">IF(INDEX('TEa input'!$AD$6:$AD$68,$I109)="","",INDEX('TEa input'!$AD$6:$AD$68,$I109))</f>
        <v/>
      </c>
      <c r="Y109" s="25" t="str">
        <f aca="false">IF(INDEX('TEa input'!$AF$6:$AF$68,$I109)="","",INDEX('TEa input'!$AF$6:$AF$68,$I109))</f>
        <v/>
      </c>
      <c r="AA109" s="26" t="str">
        <f aca="false">IF(OR(J109="",$E109="",N($E109)&lt;=0),"",(J109-ABS(N($F109)))/$E109)</f>
        <v/>
      </c>
      <c r="AB109" s="26" t="str">
        <f aca="false">IF(OR(K109="",$E109="",N($E109)&lt;=0),"",(K109-ABS(N($F109)))/$E109)</f>
        <v/>
      </c>
      <c r="AC109" s="26" t="n">
        <f aca="false">IF(OR(L109="",$E109="",N($E109)&lt;=0),"",(L109-ABS(N($F109)))/$E109)</f>
        <v>2.81932275633436</v>
      </c>
      <c r="AD109" s="26" t="str">
        <f aca="false">IF(OR(M109="",$E109="",N($E109)&lt;=0),"",(M109-ABS(N($F109)))/$E109)</f>
        <v/>
      </c>
      <c r="AE109" s="26" t="n">
        <f aca="false">IF(OR(N109="",$E109="",N($E109)&lt;=0),"",(N109-ABS(N($F109)))/$E109)</f>
        <v>4.47691214776225</v>
      </c>
      <c r="AF109" s="26" t="n">
        <f aca="false">IF(OR(O109="",$E109="",N($E109)&lt;=0),"",(O109-ABS(N($F109)))/$E109)</f>
        <v>4.47691214776225</v>
      </c>
      <c r="AG109" s="26" t="str">
        <f aca="false">IF(OR(P109="",$E109="",N($E109)&lt;=0),"",(P109-ABS(N($F109)))/$E109)</f>
        <v/>
      </c>
      <c r="AH109" s="26" t="str">
        <f aca="false">IF(OR(Q109="",$E109="",N($E109)&lt;=0),"",(Q109-ABS(N($F109)))/$E109)</f>
        <v/>
      </c>
      <c r="AI109" s="26" t="str">
        <f aca="false">IF(OR(R109="",$E109="",N($E109)&lt;=0),"",(R109-ABS(N($F109)))/$E109)</f>
        <v/>
      </c>
      <c r="AJ109" s="26" t="str">
        <f aca="false">IF(OR(S109="",$E109="",N($E109)&lt;=0),"",(S109-ABS(N($F109)))/$E109)</f>
        <v/>
      </c>
      <c r="AK109" s="26" t="str">
        <f aca="false">IF(OR(T109="",$E109="",N($E109)&lt;=0),"",(T109-ABS(N($F109)))/$E109)</f>
        <v/>
      </c>
      <c r="AL109" s="26" t="str">
        <f aca="false">IF(OR(U109="",$E109="",N($E109)&lt;=0),"",(U109-ABS(N($F109)))/$E109)</f>
        <v/>
      </c>
      <c r="AM109" s="26" t="str">
        <f aca="false">IF(OR(V109="",$E109="",N($E109)&lt;=0),"",(V109-ABS(N($F109)))/$E109)</f>
        <v/>
      </c>
      <c r="AN109" s="26" t="str">
        <f aca="false">IF(OR(W109="",$E109="",N($E109)&lt;=0),"",(W109-ABS(N($F109)))/$E109)</f>
        <v/>
      </c>
      <c r="AO109" s="26" t="str">
        <f aca="false">IF(OR(X109="",$E109="",N($E109)&lt;=0),"",(X109-ABS(N($F109)))/$E109)</f>
        <v/>
      </c>
      <c r="AP109" s="26" t="str">
        <f aca="false">IF(OR(Y109="",$E109="",N($E109)&lt;=0),"",(Y109-ABS(N($F109)))/$E109)</f>
        <v/>
      </c>
    </row>
    <row r="110" customFormat="false" ht="15" hidden="false" customHeight="true" outlineLevel="0" collapsed="false">
      <c r="A110" s="9" t="s">
        <v>256</v>
      </c>
      <c r="B110" s="11" t="s">
        <v>329</v>
      </c>
      <c r="C110" s="11" t="s">
        <v>336</v>
      </c>
      <c r="D110" s="21" t="n">
        <v>12.2229</v>
      </c>
      <c r="E110" s="22" t="n">
        <v>3.233</v>
      </c>
      <c r="F110" s="22" t="n">
        <v>0.567</v>
      </c>
      <c r="G110" s="23" t="n">
        <v>1000</v>
      </c>
      <c r="H110" s="11" t="s">
        <v>335</v>
      </c>
      <c r="I110" s="24" t="n">
        <f aca="false">MATCH(A110,'TEa input'!$A$6:$A$68,0)</f>
        <v>49</v>
      </c>
      <c r="J110" s="25" t="str">
        <f aca="false">IF(INDEX('TEa input'!$E$6:$E$68,$I110)="","",INDEX('TEa input'!$E$6:$E$68,$I110))</f>
        <v/>
      </c>
      <c r="K110" s="25" t="str">
        <f aca="false">IF(INDEX('TEa input'!$G$6:$G$68,$I110)="","",INDEX('TEa input'!$G$6:$G$68,$I110))</f>
        <v/>
      </c>
      <c r="L110" s="25" t="n">
        <f aca="false">IF(INDEX('TEa input'!$I$6:$I$68,$I110)="","",INDEX('TEa input'!$I$6:$I$68,$I110))</f>
        <v>13</v>
      </c>
      <c r="M110" s="25" t="str">
        <f aca="false">IF(INDEX('TEa input'!$K$6:$K$68,$I110)="","",INDEX('TEa input'!$K$6:$K$68,$I110))</f>
        <v/>
      </c>
      <c r="N110" s="25" t="n">
        <f aca="false">IF(INDEX('TEa input'!$M$6:$M$68,$I110)="","",INDEX('TEa input'!$M$6:$M$68,$I110))</f>
        <v>20</v>
      </c>
      <c r="O110" s="25" t="n">
        <f aca="false">IF(INDEX('TEa input'!$O$6:$O$68,$I110)="","",INDEX('TEa input'!$O$6:$O$68,$I110))</f>
        <v>20</v>
      </c>
      <c r="P110" s="25" t="str">
        <f aca="false">IF(INDEX('TEa input'!$Q$6:$Q$68,$I110)="","",INDEX('TEa input'!$Q$6:$Q$68,$I110))</f>
        <v/>
      </c>
      <c r="Q110" s="25" t="str">
        <f aca="false">IF(INDEX('TEa input'!$R$6:$R$68,$I110)="","",INDEX('TEa input'!$R$6:$R$68,$I110))</f>
        <v/>
      </c>
      <c r="R110" s="25" t="str">
        <f aca="false">IF(INDEX('TEa input'!$T$6:$T$68,$I110)="","",INDEX('TEa input'!$T$6:$T$68,$I110))</f>
        <v/>
      </c>
      <c r="S110" s="25" t="str">
        <f aca="false">IF(INDEX('TEa input'!$Y$6:$Y$68,$I110)="","",INDEX('TEa input'!$Y$6:$Y$68,$I110))</f>
        <v/>
      </c>
      <c r="T110" s="25" t="str">
        <f aca="false">IF(INDEX('TEa input'!$Z$6:$Z$68,$I110)="","",INDEX('TEa input'!$Z$6:$Z$68,$I110))</f>
        <v/>
      </c>
      <c r="U110" s="25" t="str">
        <f aca="false">IF(INDEX('TEa input'!$AA$6:$AA$68,$I110)="","",INDEX('TEa input'!$AA$6:$AA$68,$I110))</f>
        <v/>
      </c>
      <c r="V110" s="25" t="str">
        <f aca="false">IF(INDEX('TEa input'!$AB$6:$AB$68,$I110)="","",INDEX('TEa input'!$AB$6:$AB$68,$I110))</f>
        <v/>
      </c>
      <c r="W110" s="25" t="str">
        <f aca="false">IF(INDEX('TEa input'!$AC$6:$AC$68,$I110)="","",INDEX('TEa input'!$AC$6:$AC$68,$I110))</f>
        <v/>
      </c>
      <c r="X110" s="25" t="str">
        <f aca="false">IF(INDEX('TEa input'!$AD$6:$AD$68,$I110)="","",INDEX('TEa input'!$AD$6:$AD$68,$I110))</f>
        <v/>
      </c>
      <c r="Y110" s="25" t="str">
        <f aca="false">IF(INDEX('TEa input'!$AF$6:$AF$68,$I110)="","",INDEX('TEa input'!$AF$6:$AF$68,$I110))</f>
        <v/>
      </c>
      <c r="AA110" s="26" t="str">
        <f aca="false">IF(OR(J110="",$E110="",N($E110)&lt;=0),"",(J110-ABS(N($F110)))/$E110)</f>
        <v/>
      </c>
      <c r="AB110" s="26" t="str">
        <f aca="false">IF(OR(K110="",$E110="",N($E110)&lt;=0),"",(K110-ABS(N($F110)))/$E110)</f>
        <v/>
      </c>
      <c r="AC110" s="26" t="n">
        <f aca="false">IF(OR(L110="",$E110="",N($E110)&lt;=0),"",(L110-ABS(N($F110)))/$E110)</f>
        <v>3.84565419115373</v>
      </c>
      <c r="AD110" s="26" t="str">
        <f aca="false">IF(OR(M110="",$E110="",N($E110)&lt;=0),"",(M110-ABS(N($F110)))/$E110)</f>
        <v/>
      </c>
      <c r="AE110" s="26" t="n">
        <f aca="false">IF(OR(N110="",$E110="",N($E110)&lt;=0),"",(N110-ABS(N($F110)))/$E110)</f>
        <v>6.01082585833591</v>
      </c>
      <c r="AF110" s="26" t="n">
        <f aca="false">IF(OR(O110="",$E110="",N($E110)&lt;=0),"",(O110-ABS(N($F110)))/$E110)</f>
        <v>6.01082585833591</v>
      </c>
      <c r="AG110" s="26" t="str">
        <f aca="false">IF(OR(P110="",$E110="",N($E110)&lt;=0),"",(P110-ABS(N($F110)))/$E110)</f>
        <v/>
      </c>
      <c r="AH110" s="26" t="str">
        <f aca="false">IF(OR(Q110="",$E110="",N($E110)&lt;=0),"",(Q110-ABS(N($F110)))/$E110)</f>
        <v/>
      </c>
      <c r="AI110" s="26" t="str">
        <f aca="false">IF(OR(R110="",$E110="",N($E110)&lt;=0),"",(R110-ABS(N($F110)))/$E110)</f>
        <v/>
      </c>
      <c r="AJ110" s="26" t="str">
        <f aca="false">IF(OR(S110="",$E110="",N($E110)&lt;=0),"",(S110-ABS(N($F110)))/$E110)</f>
        <v/>
      </c>
      <c r="AK110" s="26" t="str">
        <f aca="false">IF(OR(T110="",$E110="",N($E110)&lt;=0),"",(T110-ABS(N($F110)))/$E110)</f>
        <v/>
      </c>
      <c r="AL110" s="26" t="str">
        <f aca="false">IF(OR(U110="",$E110="",N($E110)&lt;=0),"",(U110-ABS(N($F110)))/$E110)</f>
        <v/>
      </c>
      <c r="AM110" s="26" t="str">
        <f aca="false">IF(OR(V110="",$E110="",N($E110)&lt;=0),"",(V110-ABS(N($F110)))/$E110)</f>
        <v/>
      </c>
      <c r="AN110" s="26" t="str">
        <f aca="false">IF(OR(W110="",$E110="",N($E110)&lt;=0),"",(W110-ABS(N($F110)))/$E110)</f>
        <v/>
      </c>
      <c r="AO110" s="26" t="str">
        <f aca="false">IF(OR(X110="",$E110="",N($E110)&lt;=0),"",(X110-ABS(N($F110)))/$E110)</f>
        <v/>
      </c>
      <c r="AP110" s="26" t="str">
        <f aca="false">IF(OR(Y110="",$E110="",N($E110)&lt;=0),"",(Y110-ABS(N($F110)))/$E110)</f>
        <v/>
      </c>
    </row>
    <row r="111" customFormat="false" ht="15" hidden="false" customHeight="true" outlineLevel="0" collapsed="false">
      <c r="A111" s="9" t="s">
        <v>259</v>
      </c>
      <c r="B111" s="11" t="s">
        <v>326</v>
      </c>
      <c r="C111" s="11" t="s">
        <v>334</v>
      </c>
      <c r="D111" s="21" t="n">
        <v>164.611</v>
      </c>
      <c r="E111" s="22" t="n">
        <v>3.806</v>
      </c>
      <c r="F111" s="22" t="n">
        <v>0.135</v>
      </c>
      <c r="G111" s="23" t="n">
        <v>1013</v>
      </c>
      <c r="H111" s="11" t="s">
        <v>335</v>
      </c>
      <c r="I111" s="24" t="n">
        <f aca="false">MATCH(A111,'TEa input'!$A$6:$A$68,0)</f>
        <v>50</v>
      </c>
      <c r="J111" s="25" t="str">
        <f aca="false">IF(INDEX('TEa input'!$E$6:$E$68,$I111)="","",INDEX('TEa input'!$E$6:$E$68,$I111))</f>
        <v/>
      </c>
      <c r="K111" s="25" t="n">
        <f aca="false">IF(INDEX('TEa input'!$G$6:$G$68,$I111)="","",INDEX('TEa input'!$G$6:$G$68,$I111))</f>
        <v>30</v>
      </c>
      <c r="L111" s="25" t="n">
        <f aca="false">IF(INDEX('TEa input'!$I$6:$I$68,$I111)="","",INDEX('TEa input'!$I$6:$I$68,$I111))</f>
        <v>15</v>
      </c>
      <c r="M111" s="25" t="str">
        <f aca="false">IF(INDEX('TEa input'!$K$6:$K$68,$I111)="","",INDEX('TEa input'!$K$6:$K$68,$I111))</f>
        <v/>
      </c>
      <c r="N111" s="25" t="n">
        <f aca="false">IF(INDEX('TEa input'!$M$6:$M$68,$I111)="","",INDEX('TEa input'!$M$6:$M$68,$I111))</f>
        <v>20</v>
      </c>
      <c r="O111" s="25" t="str">
        <f aca="false">IF(INDEX('TEa input'!$O$6:$O$68,$I111)="","",INDEX('TEa input'!$O$6:$O$68,$I111))</f>
        <v/>
      </c>
      <c r="P111" s="25" t="str">
        <f aca="false">IF(INDEX('TEa input'!$Q$6:$Q$68,$I111)="","",INDEX('TEa input'!$Q$6:$Q$68,$I111))</f>
        <v/>
      </c>
      <c r="Q111" s="25" t="str">
        <f aca="false">IF(INDEX('TEa input'!$R$6:$R$68,$I111)="","",INDEX('TEa input'!$R$6:$R$68,$I111))</f>
        <v/>
      </c>
      <c r="R111" s="25" t="str">
        <f aca="false">IF(INDEX('TEa input'!$T$6:$T$68,$I111)="","",INDEX('TEa input'!$T$6:$T$68,$I111))</f>
        <v/>
      </c>
      <c r="S111" s="25" t="str">
        <f aca="false">IF(INDEX('TEa input'!$Y$6:$Y$68,$I111)="","",INDEX('TEa input'!$Y$6:$Y$68,$I111))</f>
        <v/>
      </c>
      <c r="T111" s="25" t="str">
        <f aca="false">IF(INDEX('TEa input'!$Z$6:$Z$68,$I111)="","",INDEX('TEa input'!$Z$6:$Z$68,$I111))</f>
        <v/>
      </c>
      <c r="U111" s="25" t="str">
        <f aca="false">IF(INDEX('TEa input'!$AA$6:$AA$68,$I111)="","",INDEX('TEa input'!$AA$6:$AA$68,$I111))</f>
        <v/>
      </c>
      <c r="V111" s="25" t="str">
        <f aca="false">IF(INDEX('TEa input'!$AB$6:$AB$68,$I111)="","",INDEX('TEa input'!$AB$6:$AB$68,$I111))</f>
        <v/>
      </c>
      <c r="W111" s="25" t="str">
        <f aca="false">IF(INDEX('TEa input'!$AC$6:$AC$68,$I111)="","",INDEX('TEa input'!$AC$6:$AC$68,$I111))</f>
        <v/>
      </c>
      <c r="X111" s="25" t="str">
        <f aca="false">IF(INDEX('TEa input'!$AD$6:$AD$68,$I111)="","",INDEX('TEa input'!$AD$6:$AD$68,$I111))</f>
        <v/>
      </c>
      <c r="Y111" s="25" t="str">
        <f aca="false">IF(INDEX('TEa input'!$AF$6:$AF$68,$I111)="","",INDEX('TEa input'!$AF$6:$AF$68,$I111))</f>
        <v/>
      </c>
      <c r="AA111" s="26" t="str">
        <f aca="false">IF(OR(J111="",$E111="",N($E111)&lt;=0),"",(J111-ABS(N($F111)))/$E111)</f>
        <v/>
      </c>
      <c r="AB111" s="26" t="n">
        <f aca="false">IF(OR(K111="",$E111="",N($E111)&lt;=0),"",(K111-ABS(N($F111)))/$E111)</f>
        <v>7.84682080924855</v>
      </c>
      <c r="AC111" s="26" t="n">
        <f aca="false">IF(OR(L111="",$E111="",N($E111)&lt;=0),"",(L111-ABS(N($F111)))/$E111)</f>
        <v>3.90567524960589</v>
      </c>
      <c r="AD111" s="26" t="str">
        <f aca="false">IF(OR(M111="",$E111="",N($E111)&lt;=0),"",(M111-ABS(N($F111)))/$E111)</f>
        <v/>
      </c>
      <c r="AE111" s="26" t="n">
        <f aca="false">IF(OR(N111="",$E111="",N($E111)&lt;=0),"",(N111-ABS(N($F111)))/$E111)</f>
        <v>5.21939043615344</v>
      </c>
      <c r="AF111" s="26" t="str">
        <f aca="false">IF(OR(O111="",$E111="",N($E111)&lt;=0),"",(O111-ABS(N($F111)))/$E111)</f>
        <v/>
      </c>
      <c r="AG111" s="26" t="str">
        <f aca="false">IF(OR(P111="",$E111="",N($E111)&lt;=0),"",(P111-ABS(N($F111)))/$E111)</f>
        <v/>
      </c>
      <c r="AH111" s="26" t="str">
        <f aca="false">IF(OR(Q111="",$E111="",N($E111)&lt;=0),"",(Q111-ABS(N($F111)))/$E111)</f>
        <v/>
      </c>
      <c r="AI111" s="26" t="str">
        <f aca="false">IF(OR(R111="",$E111="",N($E111)&lt;=0),"",(R111-ABS(N($F111)))/$E111)</f>
        <v/>
      </c>
      <c r="AJ111" s="26" t="str">
        <f aca="false">IF(OR(S111="",$E111="",N($E111)&lt;=0),"",(S111-ABS(N($F111)))/$E111)</f>
        <v/>
      </c>
      <c r="AK111" s="26" t="str">
        <f aca="false">IF(OR(T111="",$E111="",N($E111)&lt;=0),"",(T111-ABS(N($F111)))/$E111)</f>
        <v/>
      </c>
      <c r="AL111" s="26" t="str">
        <f aca="false">IF(OR(U111="",$E111="",N($E111)&lt;=0),"",(U111-ABS(N($F111)))/$E111)</f>
        <v/>
      </c>
      <c r="AM111" s="26" t="str">
        <f aca="false">IF(OR(V111="",$E111="",N($E111)&lt;=0),"",(V111-ABS(N($F111)))/$E111)</f>
        <v/>
      </c>
      <c r="AN111" s="26" t="str">
        <f aca="false">IF(OR(W111="",$E111="",N($E111)&lt;=0),"",(W111-ABS(N($F111)))/$E111)</f>
        <v/>
      </c>
      <c r="AO111" s="26" t="str">
        <f aca="false">IF(OR(X111="",$E111="",N($E111)&lt;=0),"",(X111-ABS(N($F111)))/$E111)</f>
        <v/>
      </c>
      <c r="AP111" s="26" t="str">
        <f aca="false">IF(OR(Y111="",$E111="",N($E111)&lt;=0),"",(Y111-ABS(N($F111)))/$E111)</f>
        <v/>
      </c>
    </row>
    <row r="112" customFormat="false" ht="15" hidden="false" customHeight="true" outlineLevel="0" collapsed="false">
      <c r="A112" s="9" t="s">
        <v>259</v>
      </c>
      <c r="B112" s="11" t="s">
        <v>329</v>
      </c>
      <c r="C112" s="11" t="s">
        <v>336</v>
      </c>
      <c r="D112" s="21" t="n">
        <v>2231.85</v>
      </c>
      <c r="E112" s="22" t="n">
        <v>3.817</v>
      </c>
      <c r="F112" s="22" t="n">
        <v>0.501</v>
      </c>
      <c r="G112" s="23" t="n">
        <v>997</v>
      </c>
      <c r="H112" s="11" t="s">
        <v>335</v>
      </c>
      <c r="I112" s="24" t="n">
        <f aca="false">MATCH(A112,'TEa input'!$A$6:$A$68,0)</f>
        <v>50</v>
      </c>
      <c r="J112" s="25" t="str">
        <f aca="false">IF(INDEX('TEa input'!$E$6:$E$68,$I112)="","",INDEX('TEa input'!$E$6:$E$68,$I112))</f>
        <v/>
      </c>
      <c r="K112" s="25" t="n">
        <f aca="false">IF(INDEX('TEa input'!$G$6:$G$68,$I112)="","",INDEX('TEa input'!$G$6:$G$68,$I112))</f>
        <v>30</v>
      </c>
      <c r="L112" s="25" t="n">
        <f aca="false">IF(INDEX('TEa input'!$I$6:$I$68,$I112)="","",INDEX('TEa input'!$I$6:$I$68,$I112))</f>
        <v>15</v>
      </c>
      <c r="M112" s="25" t="str">
        <f aca="false">IF(INDEX('TEa input'!$K$6:$K$68,$I112)="","",INDEX('TEa input'!$K$6:$K$68,$I112))</f>
        <v/>
      </c>
      <c r="N112" s="25" t="n">
        <f aca="false">IF(INDEX('TEa input'!$M$6:$M$68,$I112)="","",INDEX('TEa input'!$M$6:$M$68,$I112))</f>
        <v>20</v>
      </c>
      <c r="O112" s="25" t="str">
        <f aca="false">IF(INDEX('TEa input'!$O$6:$O$68,$I112)="","",INDEX('TEa input'!$O$6:$O$68,$I112))</f>
        <v/>
      </c>
      <c r="P112" s="25" t="str">
        <f aca="false">IF(INDEX('TEa input'!$Q$6:$Q$68,$I112)="","",INDEX('TEa input'!$Q$6:$Q$68,$I112))</f>
        <v/>
      </c>
      <c r="Q112" s="25" t="str">
        <f aca="false">IF(INDEX('TEa input'!$R$6:$R$68,$I112)="","",INDEX('TEa input'!$R$6:$R$68,$I112))</f>
        <v/>
      </c>
      <c r="R112" s="25" t="str">
        <f aca="false">IF(INDEX('TEa input'!$T$6:$T$68,$I112)="","",INDEX('TEa input'!$T$6:$T$68,$I112))</f>
        <v/>
      </c>
      <c r="S112" s="25" t="str">
        <f aca="false">IF(INDEX('TEa input'!$Y$6:$Y$68,$I112)="","",INDEX('TEa input'!$Y$6:$Y$68,$I112))</f>
        <v/>
      </c>
      <c r="T112" s="25" t="str">
        <f aca="false">IF(INDEX('TEa input'!$Z$6:$Z$68,$I112)="","",INDEX('TEa input'!$Z$6:$Z$68,$I112))</f>
        <v/>
      </c>
      <c r="U112" s="25" t="str">
        <f aca="false">IF(INDEX('TEa input'!$AA$6:$AA$68,$I112)="","",INDEX('TEa input'!$AA$6:$AA$68,$I112))</f>
        <v/>
      </c>
      <c r="V112" s="25" t="str">
        <f aca="false">IF(INDEX('TEa input'!$AB$6:$AB$68,$I112)="","",INDEX('TEa input'!$AB$6:$AB$68,$I112))</f>
        <v/>
      </c>
      <c r="W112" s="25" t="str">
        <f aca="false">IF(INDEX('TEa input'!$AC$6:$AC$68,$I112)="","",INDEX('TEa input'!$AC$6:$AC$68,$I112))</f>
        <v/>
      </c>
      <c r="X112" s="25" t="str">
        <f aca="false">IF(INDEX('TEa input'!$AD$6:$AD$68,$I112)="","",INDEX('TEa input'!$AD$6:$AD$68,$I112))</f>
        <v/>
      </c>
      <c r="Y112" s="25" t="str">
        <f aca="false">IF(INDEX('TEa input'!$AF$6:$AF$68,$I112)="","",INDEX('TEa input'!$AF$6:$AF$68,$I112))</f>
        <v/>
      </c>
      <c r="AA112" s="26" t="str">
        <f aca="false">IF(OR(J112="",$E112="",N($E112)&lt;=0),"",(J112-ABS(N($F112)))/$E112)</f>
        <v/>
      </c>
      <c r="AB112" s="26" t="n">
        <f aca="false">IF(OR(K112="",$E112="",N($E112)&lt;=0),"",(K112-ABS(N($F112)))/$E112)</f>
        <v>7.72832067068378</v>
      </c>
      <c r="AC112" s="26" t="n">
        <f aca="false">IF(OR(L112="",$E112="",N($E112)&lt;=0),"",(L112-ABS(N($F112)))/$E112)</f>
        <v>3.79853287922452</v>
      </c>
      <c r="AD112" s="26" t="str">
        <f aca="false">IF(OR(M112="",$E112="",N($E112)&lt;=0),"",(M112-ABS(N($F112)))/$E112)</f>
        <v/>
      </c>
      <c r="AE112" s="26" t="n">
        <f aca="false">IF(OR(N112="",$E112="",N($E112)&lt;=0),"",(N112-ABS(N($F112)))/$E112)</f>
        <v>5.10846214304428</v>
      </c>
      <c r="AF112" s="26" t="str">
        <f aca="false">IF(OR(O112="",$E112="",N($E112)&lt;=0),"",(O112-ABS(N($F112)))/$E112)</f>
        <v/>
      </c>
      <c r="AG112" s="26" t="str">
        <f aca="false">IF(OR(P112="",$E112="",N($E112)&lt;=0),"",(P112-ABS(N($F112)))/$E112)</f>
        <v/>
      </c>
      <c r="AH112" s="26" t="str">
        <f aca="false">IF(OR(Q112="",$E112="",N($E112)&lt;=0),"",(Q112-ABS(N($F112)))/$E112)</f>
        <v/>
      </c>
      <c r="AI112" s="26" t="str">
        <f aca="false">IF(OR(R112="",$E112="",N($E112)&lt;=0),"",(R112-ABS(N($F112)))/$E112)</f>
        <v/>
      </c>
      <c r="AJ112" s="26" t="str">
        <f aca="false">IF(OR(S112="",$E112="",N($E112)&lt;=0),"",(S112-ABS(N($F112)))/$E112)</f>
        <v/>
      </c>
      <c r="AK112" s="26" t="str">
        <f aca="false">IF(OR(T112="",$E112="",N($E112)&lt;=0),"",(T112-ABS(N($F112)))/$E112)</f>
        <v/>
      </c>
      <c r="AL112" s="26" t="str">
        <f aca="false">IF(OR(U112="",$E112="",N($E112)&lt;=0),"",(U112-ABS(N($F112)))/$E112)</f>
        <v/>
      </c>
      <c r="AM112" s="26" t="str">
        <f aca="false">IF(OR(V112="",$E112="",N($E112)&lt;=0),"",(V112-ABS(N($F112)))/$E112)</f>
        <v/>
      </c>
      <c r="AN112" s="26" t="str">
        <f aca="false">IF(OR(W112="",$E112="",N($E112)&lt;=0),"",(W112-ABS(N($F112)))/$E112)</f>
        <v/>
      </c>
      <c r="AO112" s="26" t="str">
        <f aca="false">IF(OR(X112="",$E112="",N($E112)&lt;=0),"",(X112-ABS(N($F112)))/$E112)</f>
        <v/>
      </c>
      <c r="AP112" s="26" t="str">
        <f aca="false">IF(OR(Y112="",$E112="",N($E112)&lt;=0),"",(Y112-ABS(N($F112)))/$E112)</f>
        <v/>
      </c>
    </row>
    <row r="113" customFormat="false" ht="15" hidden="false" customHeight="true" outlineLevel="0" collapsed="false">
      <c r="A113" s="9" t="s">
        <v>261</v>
      </c>
      <c r="B113" s="11" t="s">
        <v>326</v>
      </c>
      <c r="C113" s="11" t="s">
        <v>334</v>
      </c>
      <c r="D113" s="21" t="n">
        <v>1.64042</v>
      </c>
      <c r="E113" s="22" t="n">
        <v>4.712</v>
      </c>
      <c r="F113" s="22" t="n">
        <v>1.384</v>
      </c>
      <c r="G113" s="23" t="n">
        <v>669</v>
      </c>
      <c r="H113" s="11" t="s">
        <v>335</v>
      </c>
      <c r="I113" s="24" t="n">
        <f aca="false">MATCH(A113,'TEa input'!$A$6:$A$68,0)</f>
        <v>51</v>
      </c>
      <c r="J113" s="25" t="str">
        <f aca="false">IF(INDEX('TEa input'!$E$6:$E$68,$I113)="","",INDEX('TEa input'!$E$6:$E$68,$I113))</f>
        <v/>
      </c>
      <c r="K113" s="25" t="n">
        <f aca="false">IF(INDEX('TEa input'!$G$6:$G$68,$I113)="","",INDEX('TEa input'!$G$6:$G$68,$I113))</f>
        <v>30</v>
      </c>
      <c r="L113" s="25" t="str">
        <f aca="false">IF(INDEX('TEa input'!$I$6:$I$68,$I113)="","",INDEX('TEa input'!$I$6:$I$68,$I113))</f>
        <v/>
      </c>
      <c r="M113" s="25" t="str">
        <f aca="false">IF(INDEX('TEa input'!$K$6:$K$68,$I113)="","",INDEX('TEa input'!$K$6:$K$68,$I113))</f>
        <v/>
      </c>
      <c r="N113" s="25" t="n">
        <f aca="false">IF(INDEX('TEa input'!$M$6:$M$68,$I113)="","",INDEX('TEa input'!$M$6:$M$68,$I113))</f>
        <v>12</v>
      </c>
      <c r="O113" s="25" t="n">
        <f aca="false">IF(INDEX('TEa input'!$O$6:$O$68,$I113)="","",INDEX('TEa input'!$O$6:$O$68,$I113))</f>
        <v>30</v>
      </c>
      <c r="P113" s="25" t="str">
        <f aca="false">IF(INDEX('TEa input'!$Q$6:$Q$68,$I113)="","",INDEX('TEa input'!$Q$6:$Q$68,$I113))</f>
        <v/>
      </c>
      <c r="Q113" s="25" t="str">
        <f aca="false">IF(INDEX('TEa input'!$R$6:$R$68,$I113)="","",INDEX('TEa input'!$R$6:$R$68,$I113))</f>
        <v/>
      </c>
      <c r="R113" s="25" t="str">
        <f aca="false">IF(INDEX('TEa input'!$T$6:$T$68,$I113)="","",INDEX('TEa input'!$T$6:$T$68,$I113))</f>
        <v/>
      </c>
      <c r="S113" s="25" t="str">
        <f aca="false">IF(INDEX('TEa input'!$Y$6:$Y$68,$I113)="","",INDEX('TEa input'!$Y$6:$Y$68,$I113))</f>
        <v/>
      </c>
      <c r="T113" s="25" t="str">
        <f aca="false">IF(INDEX('TEa input'!$Z$6:$Z$68,$I113)="","",INDEX('TEa input'!$Z$6:$Z$68,$I113))</f>
        <v/>
      </c>
      <c r="U113" s="25" t="str">
        <f aca="false">IF(INDEX('TEa input'!$AA$6:$AA$68,$I113)="","",INDEX('TEa input'!$AA$6:$AA$68,$I113))</f>
        <v/>
      </c>
      <c r="V113" s="25" t="str">
        <f aca="false">IF(INDEX('TEa input'!$AB$6:$AB$68,$I113)="","",INDEX('TEa input'!$AB$6:$AB$68,$I113))</f>
        <v/>
      </c>
      <c r="W113" s="25" t="str">
        <f aca="false">IF(INDEX('TEa input'!$AC$6:$AC$68,$I113)="","",INDEX('TEa input'!$AC$6:$AC$68,$I113))</f>
        <v/>
      </c>
      <c r="X113" s="25" t="str">
        <f aca="false">IF(INDEX('TEa input'!$AD$6:$AD$68,$I113)="","",INDEX('TEa input'!$AD$6:$AD$68,$I113))</f>
        <v/>
      </c>
      <c r="Y113" s="25" t="str">
        <f aca="false">IF(INDEX('TEa input'!$AF$6:$AF$68,$I113)="","",INDEX('TEa input'!$AF$6:$AF$68,$I113))</f>
        <v/>
      </c>
      <c r="AA113" s="26" t="str">
        <f aca="false">IF(OR(J113="",$E113="",N($E113)&lt;=0),"",(J113-ABS(N($F113)))/$E113)</f>
        <v/>
      </c>
      <c r="AB113" s="26" t="n">
        <f aca="false">IF(OR(K113="",$E113="",N($E113)&lt;=0),"",(K113-ABS(N($F113)))/$E113)</f>
        <v>6.07300509337861</v>
      </c>
      <c r="AC113" s="26" t="str">
        <f aca="false">IF(OR(L113="",$E113="",N($E113)&lt;=0),"",(L113-ABS(N($F113)))/$E113)</f>
        <v/>
      </c>
      <c r="AD113" s="26" t="str">
        <f aca="false">IF(OR(M113="",$E113="",N($E113)&lt;=0),"",(M113-ABS(N($F113)))/$E113)</f>
        <v/>
      </c>
      <c r="AE113" s="26" t="n">
        <f aca="false">IF(OR(N113="",$E113="",N($E113)&lt;=0),"",(N113-ABS(N($F113)))/$E113)</f>
        <v>2.25297113752122</v>
      </c>
      <c r="AF113" s="26" t="n">
        <f aca="false">IF(OR(O113="",$E113="",N($E113)&lt;=0),"",(O113-ABS(N($F113)))/$E113)</f>
        <v>6.07300509337861</v>
      </c>
      <c r="AG113" s="26" t="str">
        <f aca="false">IF(OR(P113="",$E113="",N($E113)&lt;=0),"",(P113-ABS(N($F113)))/$E113)</f>
        <v/>
      </c>
      <c r="AH113" s="26" t="str">
        <f aca="false">IF(OR(Q113="",$E113="",N($E113)&lt;=0),"",(Q113-ABS(N($F113)))/$E113)</f>
        <v/>
      </c>
      <c r="AI113" s="26" t="str">
        <f aca="false">IF(OR(R113="",$E113="",N($E113)&lt;=0),"",(R113-ABS(N($F113)))/$E113)</f>
        <v/>
      </c>
      <c r="AJ113" s="26" t="str">
        <f aca="false">IF(OR(S113="",$E113="",N($E113)&lt;=0),"",(S113-ABS(N($F113)))/$E113)</f>
        <v/>
      </c>
      <c r="AK113" s="26" t="str">
        <f aca="false">IF(OR(T113="",$E113="",N($E113)&lt;=0),"",(T113-ABS(N($F113)))/$E113)</f>
        <v/>
      </c>
      <c r="AL113" s="26" t="str">
        <f aca="false">IF(OR(U113="",$E113="",N($E113)&lt;=0),"",(U113-ABS(N($F113)))/$E113)</f>
        <v/>
      </c>
      <c r="AM113" s="26" t="str">
        <f aca="false">IF(OR(V113="",$E113="",N($E113)&lt;=0),"",(V113-ABS(N($F113)))/$E113)</f>
        <v/>
      </c>
      <c r="AN113" s="26" t="str">
        <f aca="false">IF(OR(W113="",$E113="",N($E113)&lt;=0),"",(W113-ABS(N($F113)))/$E113)</f>
        <v/>
      </c>
      <c r="AO113" s="26" t="str">
        <f aca="false">IF(OR(X113="",$E113="",N($E113)&lt;=0),"",(X113-ABS(N($F113)))/$E113)</f>
        <v/>
      </c>
      <c r="AP113" s="26" t="str">
        <f aca="false">IF(OR(Y113="",$E113="",N($E113)&lt;=0),"",(Y113-ABS(N($F113)))/$E113)</f>
        <v/>
      </c>
    </row>
    <row r="114" customFormat="false" ht="15" hidden="false" customHeight="true" outlineLevel="0" collapsed="false">
      <c r="A114" s="9" t="s">
        <v>261</v>
      </c>
      <c r="B114" s="11" t="s">
        <v>329</v>
      </c>
      <c r="C114" s="11" t="s">
        <v>336</v>
      </c>
      <c r="D114" s="21" t="n">
        <v>8.35479</v>
      </c>
      <c r="E114" s="22" t="n">
        <v>3.595</v>
      </c>
      <c r="F114" s="22" t="n">
        <v>0.406</v>
      </c>
      <c r="G114" s="23" t="n">
        <v>670</v>
      </c>
      <c r="H114" s="11" t="s">
        <v>337</v>
      </c>
      <c r="I114" s="24" t="n">
        <f aca="false">MATCH(A114,'TEa input'!$A$6:$A$68,0)</f>
        <v>51</v>
      </c>
      <c r="J114" s="25" t="str">
        <f aca="false">IF(INDEX('TEa input'!$E$6:$E$68,$I114)="","",INDEX('TEa input'!$E$6:$E$68,$I114))</f>
        <v/>
      </c>
      <c r="K114" s="25" t="n">
        <f aca="false">IF(INDEX('TEa input'!$G$6:$G$68,$I114)="","",INDEX('TEa input'!$G$6:$G$68,$I114))</f>
        <v>30</v>
      </c>
      <c r="L114" s="25" t="str">
        <f aca="false">IF(INDEX('TEa input'!$I$6:$I$68,$I114)="","",INDEX('TEa input'!$I$6:$I$68,$I114))</f>
        <v/>
      </c>
      <c r="M114" s="25" t="str">
        <f aca="false">IF(INDEX('TEa input'!$K$6:$K$68,$I114)="","",INDEX('TEa input'!$K$6:$K$68,$I114))</f>
        <v/>
      </c>
      <c r="N114" s="25" t="n">
        <f aca="false">IF(INDEX('TEa input'!$M$6:$M$68,$I114)="","",INDEX('TEa input'!$M$6:$M$68,$I114))</f>
        <v>12</v>
      </c>
      <c r="O114" s="25" t="n">
        <f aca="false">IF(INDEX('TEa input'!$O$6:$O$68,$I114)="","",INDEX('TEa input'!$O$6:$O$68,$I114))</f>
        <v>30</v>
      </c>
      <c r="P114" s="25" t="str">
        <f aca="false">IF(INDEX('TEa input'!$Q$6:$Q$68,$I114)="","",INDEX('TEa input'!$Q$6:$Q$68,$I114))</f>
        <v/>
      </c>
      <c r="Q114" s="25" t="str">
        <f aca="false">IF(INDEX('TEa input'!$R$6:$R$68,$I114)="","",INDEX('TEa input'!$R$6:$R$68,$I114))</f>
        <v/>
      </c>
      <c r="R114" s="25" t="str">
        <f aca="false">IF(INDEX('TEa input'!$T$6:$T$68,$I114)="","",INDEX('TEa input'!$T$6:$T$68,$I114))</f>
        <v/>
      </c>
      <c r="S114" s="25" t="str">
        <f aca="false">IF(INDEX('TEa input'!$Y$6:$Y$68,$I114)="","",INDEX('TEa input'!$Y$6:$Y$68,$I114))</f>
        <v/>
      </c>
      <c r="T114" s="25" t="str">
        <f aca="false">IF(INDEX('TEa input'!$Z$6:$Z$68,$I114)="","",INDEX('TEa input'!$Z$6:$Z$68,$I114))</f>
        <v/>
      </c>
      <c r="U114" s="25" t="str">
        <f aca="false">IF(INDEX('TEa input'!$AA$6:$AA$68,$I114)="","",INDEX('TEa input'!$AA$6:$AA$68,$I114))</f>
        <v/>
      </c>
      <c r="V114" s="25" t="str">
        <f aca="false">IF(INDEX('TEa input'!$AB$6:$AB$68,$I114)="","",INDEX('TEa input'!$AB$6:$AB$68,$I114))</f>
        <v/>
      </c>
      <c r="W114" s="25" t="str">
        <f aca="false">IF(INDEX('TEa input'!$AC$6:$AC$68,$I114)="","",INDEX('TEa input'!$AC$6:$AC$68,$I114))</f>
        <v/>
      </c>
      <c r="X114" s="25" t="str">
        <f aca="false">IF(INDEX('TEa input'!$AD$6:$AD$68,$I114)="","",INDEX('TEa input'!$AD$6:$AD$68,$I114))</f>
        <v/>
      </c>
      <c r="Y114" s="25" t="str">
        <f aca="false">IF(INDEX('TEa input'!$AF$6:$AF$68,$I114)="","",INDEX('TEa input'!$AF$6:$AF$68,$I114))</f>
        <v/>
      </c>
      <c r="AA114" s="26" t="str">
        <f aca="false">IF(OR(J114="",$E114="",N($E114)&lt;=0),"",(J114-ABS(N($F114)))/$E114)</f>
        <v/>
      </c>
      <c r="AB114" s="26" t="n">
        <f aca="false">IF(OR(K114="",$E114="",N($E114)&lt;=0),"",(K114-ABS(N($F114)))/$E114)</f>
        <v>8.23198887343533</v>
      </c>
      <c r="AC114" s="26" t="str">
        <f aca="false">IF(OR(L114="",$E114="",N($E114)&lt;=0),"",(L114-ABS(N($F114)))/$E114)</f>
        <v/>
      </c>
      <c r="AD114" s="26" t="str">
        <f aca="false">IF(OR(M114="",$E114="",N($E114)&lt;=0),"",(M114-ABS(N($F114)))/$E114)</f>
        <v/>
      </c>
      <c r="AE114" s="26" t="n">
        <f aca="false">IF(OR(N114="",$E114="",N($E114)&lt;=0),"",(N114-ABS(N($F114)))/$E114)</f>
        <v>3.2250347705146</v>
      </c>
      <c r="AF114" s="26" t="n">
        <f aca="false">IF(OR(O114="",$E114="",N($E114)&lt;=0),"",(O114-ABS(N($F114)))/$E114)</f>
        <v>8.23198887343533</v>
      </c>
      <c r="AG114" s="26" t="str">
        <f aca="false">IF(OR(P114="",$E114="",N($E114)&lt;=0),"",(P114-ABS(N($F114)))/$E114)</f>
        <v/>
      </c>
      <c r="AH114" s="26" t="str">
        <f aca="false">IF(OR(Q114="",$E114="",N($E114)&lt;=0),"",(Q114-ABS(N($F114)))/$E114)</f>
        <v/>
      </c>
      <c r="AI114" s="26" t="str">
        <f aca="false">IF(OR(R114="",$E114="",N($E114)&lt;=0),"",(R114-ABS(N($F114)))/$E114)</f>
        <v/>
      </c>
      <c r="AJ114" s="26" t="str">
        <f aca="false">IF(OR(S114="",$E114="",N($E114)&lt;=0),"",(S114-ABS(N($F114)))/$E114)</f>
        <v/>
      </c>
      <c r="AK114" s="26" t="str">
        <f aca="false">IF(OR(T114="",$E114="",N($E114)&lt;=0),"",(T114-ABS(N($F114)))/$E114)</f>
        <v/>
      </c>
      <c r="AL114" s="26" t="str">
        <f aca="false">IF(OR(U114="",$E114="",N($E114)&lt;=0),"",(U114-ABS(N($F114)))/$E114)</f>
        <v/>
      </c>
      <c r="AM114" s="26" t="str">
        <f aca="false">IF(OR(V114="",$E114="",N($E114)&lt;=0),"",(V114-ABS(N($F114)))/$E114)</f>
        <v/>
      </c>
      <c r="AN114" s="26" t="str">
        <f aca="false">IF(OR(W114="",$E114="",N($E114)&lt;=0),"",(W114-ABS(N($F114)))/$E114)</f>
        <v/>
      </c>
      <c r="AO114" s="26" t="str">
        <f aca="false">IF(OR(X114="",$E114="",N($E114)&lt;=0),"",(X114-ABS(N($F114)))/$E114)</f>
        <v/>
      </c>
      <c r="AP114" s="26" t="str">
        <f aca="false">IF(OR(Y114="",$E114="",N($E114)&lt;=0),"",(Y114-ABS(N($F114)))/$E114)</f>
        <v/>
      </c>
    </row>
    <row r="115" customFormat="false" ht="15" hidden="false" customHeight="true" outlineLevel="0" collapsed="false">
      <c r="A115" s="9" t="s">
        <v>265</v>
      </c>
      <c r="B115" s="11" t="s">
        <v>326</v>
      </c>
      <c r="C115" s="11" t="s">
        <v>334</v>
      </c>
      <c r="D115" s="21" t="n">
        <v>288.393</v>
      </c>
      <c r="E115" s="22" t="n">
        <v>4.371</v>
      </c>
      <c r="F115" s="22" t="n">
        <v>3.777</v>
      </c>
      <c r="G115" s="23" t="n">
        <v>1336</v>
      </c>
      <c r="H115" s="11" t="s">
        <v>338</v>
      </c>
      <c r="I115" s="24" t="n">
        <f aca="false">MATCH(A115,'TEa input'!$A$6:$A$68,0)</f>
        <v>52</v>
      </c>
      <c r="J115" s="25" t="str">
        <f aca="false">IF(INDEX('TEa input'!$E$6:$E$68,$I115)="","",INDEX('TEa input'!$E$6:$E$68,$I115))</f>
        <v/>
      </c>
      <c r="K115" s="25" t="n">
        <f aca="false">IF(INDEX('TEa input'!$G$6:$G$68,$I115)="","",INDEX('TEa input'!$G$6:$G$68,$I115))</f>
        <v>25</v>
      </c>
      <c r="L115" s="25" t="n">
        <f aca="false">IF(INDEX('TEa input'!$I$6:$I$68,$I115)="","",INDEX('TEa input'!$I$6:$I$68,$I115))</f>
        <v>25</v>
      </c>
      <c r="M115" s="25" t="str">
        <f aca="false">IF(INDEX('TEa input'!$K$6:$K$68,$I115)="","",INDEX('TEa input'!$K$6:$K$68,$I115))</f>
        <v/>
      </c>
      <c r="N115" s="25" t="n">
        <f aca="false">IF(INDEX('TEa input'!$M$6:$M$68,$I115)="","",INDEX('TEa input'!$M$6:$M$68,$I115))</f>
        <v>15</v>
      </c>
      <c r="O115" s="25" t="str">
        <f aca="false">IF(INDEX('TEa input'!$O$6:$O$68,$I115)="","",INDEX('TEa input'!$O$6:$O$68,$I115))</f>
        <v/>
      </c>
      <c r="P115" s="25" t="str">
        <f aca="false">IF(INDEX('TEa input'!$Q$6:$Q$68,$I115)="","",INDEX('TEa input'!$Q$6:$Q$68,$I115))</f>
        <v/>
      </c>
      <c r="Q115" s="25" t="str">
        <f aca="false">IF(INDEX('TEa input'!$R$6:$R$68,$I115)="","",INDEX('TEa input'!$R$6:$R$68,$I115))</f>
        <v/>
      </c>
      <c r="R115" s="25" t="n">
        <f aca="false">IF(INDEX('TEa input'!$T$6:$T$68,$I115)="","",INDEX('TEa input'!$T$6:$T$68,$I115))</f>
        <v>25</v>
      </c>
      <c r="S115" s="25" t="str">
        <f aca="false">IF(INDEX('TEa input'!$Y$6:$Y$68,$I115)="","",INDEX('TEa input'!$Y$6:$Y$68,$I115))</f>
        <v/>
      </c>
      <c r="T115" s="25" t="str">
        <f aca="false">IF(INDEX('TEa input'!$Z$6:$Z$68,$I115)="","",INDEX('TEa input'!$Z$6:$Z$68,$I115))</f>
        <v/>
      </c>
      <c r="U115" s="25" t="str">
        <f aca="false">IF(INDEX('TEa input'!$AA$6:$AA$68,$I115)="","",INDEX('TEa input'!$AA$6:$AA$68,$I115))</f>
        <v/>
      </c>
      <c r="V115" s="25" t="str">
        <f aca="false">IF(INDEX('TEa input'!$AB$6:$AB$68,$I115)="","",INDEX('TEa input'!$AB$6:$AB$68,$I115))</f>
        <v/>
      </c>
      <c r="W115" s="25" t="str">
        <f aca="false">IF(INDEX('TEa input'!$AC$6:$AC$68,$I115)="","",INDEX('TEa input'!$AC$6:$AC$68,$I115))</f>
        <v/>
      </c>
      <c r="X115" s="25" t="str">
        <f aca="false">IF(INDEX('TEa input'!$AD$6:$AD$68,$I115)="","",INDEX('TEa input'!$AD$6:$AD$68,$I115))</f>
        <v/>
      </c>
      <c r="Y115" s="25" t="str">
        <f aca="false">IF(INDEX('TEa input'!$AF$6:$AF$68,$I115)="","",INDEX('TEa input'!$AF$6:$AF$68,$I115))</f>
        <v/>
      </c>
      <c r="AA115" s="26" t="str">
        <f aca="false">IF(OR(J115="",$E115="",N($E115)&lt;=0),"",(J115-ABS(N($F115)))/$E115)</f>
        <v/>
      </c>
      <c r="AB115" s="26" t="n">
        <f aca="false">IF(OR(K115="",$E115="",N($E115)&lt;=0),"",(K115-ABS(N($F115)))/$E115)</f>
        <v>4.85541066117593</v>
      </c>
      <c r="AC115" s="26" t="n">
        <f aca="false">IF(OR(L115="",$E115="",N($E115)&lt;=0),"",(L115-ABS(N($F115)))/$E115)</f>
        <v>4.85541066117593</v>
      </c>
      <c r="AD115" s="26" t="str">
        <f aca="false">IF(OR(M115="",$E115="",N($E115)&lt;=0),"",(M115-ABS(N($F115)))/$E115)</f>
        <v/>
      </c>
      <c r="AE115" s="26" t="n">
        <f aca="false">IF(OR(N115="",$E115="",N($E115)&lt;=0),"",(N115-ABS(N($F115)))/$E115)</f>
        <v>2.56760466712423</v>
      </c>
      <c r="AF115" s="26" t="str">
        <f aca="false">IF(OR(O115="",$E115="",N($E115)&lt;=0),"",(O115-ABS(N($F115)))/$E115)</f>
        <v/>
      </c>
      <c r="AG115" s="26" t="str">
        <f aca="false">IF(OR(P115="",$E115="",N($E115)&lt;=0),"",(P115-ABS(N($F115)))/$E115)</f>
        <v/>
      </c>
      <c r="AH115" s="26" t="str">
        <f aca="false">IF(OR(Q115="",$E115="",N($E115)&lt;=0),"",(Q115-ABS(N($F115)))/$E115)</f>
        <v/>
      </c>
      <c r="AI115" s="26" t="n">
        <f aca="false">IF(OR(R115="",$E115="",N($E115)&lt;=0),"",(R115-ABS(N($F115)))/$E115)</f>
        <v>4.85541066117593</v>
      </c>
      <c r="AJ115" s="26" t="str">
        <f aca="false">IF(OR(S115="",$E115="",N($E115)&lt;=0),"",(S115-ABS(N($F115)))/$E115)</f>
        <v/>
      </c>
      <c r="AK115" s="26" t="str">
        <f aca="false">IF(OR(T115="",$E115="",N($E115)&lt;=0),"",(T115-ABS(N($F115)))/$E115)</f>
        <v/>
      </c>
      <c r="AL115" s="26" t="str">
        <f aca="false">IF(OR(U115="",$E115="",N($E115)&lt;=0),"",(U115-ABS(N($F115)))/$E115)</f>
        <v/>
      </c>
      <c r="AM115" s="26" t="str">
        <f aca="false">IF(OR(V115="",$E115="",N($E115)&lt;=0),"",(V115-ABS(N($F115)))/$E115)</f>
        <v/>
      </c>
      <c r="AN115" s="26" t="str">
        <f aca="false">IF(OR(W115="",$E115="",N($E115)&lt;=0),"",(W115-ABS(N($F115)))/$E115)</f>
        <v/>
      </c>
      <c r="AO115" s="26" t="str">
        <f aca="false">IF(OR(X115="",$E115="",N($E115)&lt;=0),"",(X115-ABS(N($F115)))/$E115)</f>
        <v/>
      </c>
      <c r="AP115" s="26" t="str">
        <f aca="false">IF(OR(Y115="",$E115="",N($E115)&lt;=0),"",(Y115-ABS(N($F115)))/$E115)</f>
        <v/>
      </c>
    </row>
    <row r="116" customFormat="false" ht="15" hidden="false" customHeight="true" outlineLevel="0" collapsed="false">
      <c r="A116" s="9" t="s">
        <v>265</v>
      </c>
      <c r="B116" s="11" t="s">
        <v>329</v>
      </c>
      <c r="C116" s="11" t="s">
        <v>336</v>
      </c>
      <c r="D116" s="21" t="n">
        <v>513.432</v>
      </c>
      <c r="E116" s="22" t="n">
        <v>3.418</v>
      </c>
      <c r="F116" s="22" t="n">
        <v>2.288</v>
      </c>
      <c r="G116" s="23" t="n">
        <v>1338</v>
      </c>
      <c r="H116" s="11" t="s">
        <v>338</v>
      </c>
      <c r="I116" s="24" t="n">
        <f aca="false">MATCH(A116,'TEa input'!$A$6:$A$68,0)</f>
        <v>52</v>
      </c>
      <c r="J116" s="25" t="str">
        <f aca="false">IF(INDEX('TEa input'!$E$6:$E$68,$I116)="","",INDEX('TEa input'!$E$6:$E$68,$I116))</f>
        <v/>
      </c>
      <c r="K116" s="25" t="n">
        <f aca="false">IF(INDEX('TEa input'!$G$6:$G$68,$I116)="","",INDEX('TEa input'!$G$6:$G$68,$I116))</f>
        <v>25</v>
      </c>
      <c r="L116" s="25" t="n">
        <f aca="false">IF(INDEX('TEa input'!$I$6:$I$68,$I116)="","",INDEX('TEa input'!$I$6:$I$68,$I116))</f>
        <v>25</v>
      </c>
      <c r="M116" s="25" t="str">
        <f aca="false">IF(INDEX('TEa input'!$K$6:$K$68,$I116)="","",INDEX('TEa input'!$K$6:$K$68,$I116))</f>
        <v/>
      </c>
      <c r="N116" s="25" t="n">
        <f aca="false">IF(INDEX('TEa input'!$M$6:$M$68,$I116)="","",INDEX('TEa input'!$M$6:$M$68,$I116))</f>
        <v>15</v>
      </c>
      <c r="O116" s="25" t="str">
        <f aca="false">IF(INDEX('TEa input'!$O$6:$O$68,$I116)="","",INDEX('TEa input'!$O$6:$O$68,$I116))</f>
        <v/>
      </c>
      <c r="P116" s="25" t="str">
        <f aca="false">IF(INDEX('TEa input'!$Q$6:$Q$68,$I116)="","",INDEX('TEa input'!$Q$6:$Q$68,$I116))</f>
        <v/>
      </c>
      <c r="Q116" s="25" t="str">
        <f aca="false">IF(INDEX('TEa input'!$R$6:$R$68,$I116)="","",INDEX('TEa input'!$R$6:$R$68,$I116))</f>
        <v/>
      </c>
      <c r="R116" s="25" t="n">
        <f aca="false">IF(INDEX('TEa input'!$T$6:$T$68,$I116)="","",INDEX('TEa input'!$T$6:$T$68,$I116))</f>
        <v>25</v>
      </c>
      <c r="S116" s="25" t="str">
        <f aca="false">IF(INDEX('TEa input'!$Y$6:$Y$68,$I116)="","",INDEX('TEa input'!$Y$6:$Y$68,$I116))</f>
        <v/>
      </c>
      <c r="T116" s="25" t="str">
        <f aca="false">IF(INDEX('TEa input'!$Z$6:$Z$68,$I116)="","",INDEX('TEa input'!$Z$6:$Z$68,$I116))</f>
        <v/>
      </c>
      <c r="U116" s="25" t="str">
        <f aca="false">IF(INDEX('TEa input'!$AA$6:$AA$68,$I116)="","",INDEX('TEa input'!$AA$6:$AA$68,$I116))</f>
        <v/>
      </c>
      <c r="V116" s="25" t="str">
        <f aca="false">IF(INDEX('TEa input'!$AB$6:$AB$68,$I116)="","",INDEX('TEa input'!$AB$6:$AB$68,$I116))</f>
        <v/>
      </c>
      <c r="W116" s="25" t="str">
        <f aca="false">IF(INDEX('TEa input'!$AC$6:$AC$68,$I116)="","",INDEX('TEa input'!$AC$6:$AC$68,$I116))</f>
        <v/>
      </c>
      <c r="X116" s="25" t="str">
        <f aca="false">IF(INDEX('TEa input'!$AD$6:$AD$68,$I116)="","",INDEX('TEa input'!$AD$6:$AD$68,$I116))</f>
        <v/>
      </c>
      <c r="Y116" s="25" t="str">
        <f aca="false">IF(INDEX('TEa input'!$AF$6:$AF$68,$I116)="","",INDEX('TEa input'!$AF$6:$AF$68,$I116))</f>
        <v/>
      </c>
      <c r="AA116" s="26" t="str">
        <f aca="false">IF(OR(J116="",$E116="",N($E116)&lt;=0),"",(J116-ABS(N($F116)))/$E116)</f>
        <v/>
      </c>
      <c r="AB116" s="26" t="n">
        <f aca="false">IF(OR(K116="",$E116="",N($E116)&lt;=0),"",(K116-ABS(N($F116)))/$E116)</f>
        <v>6.64482153306027</v>
      </c>
      <c r="AC116" s="26" t="n">
        <f aca="false">IF(OR(L116="",$E116="",N($E116)&lt;=0),"",(L116-ABS(N($F116)))/$E116)</f>
        <v>6.64482153306027</v>
      </c>
      <c r="AD116" s="26" t="str">
        <f aca="false">IF(OR(M116="",$E116="",N($E116)&lt;=0),"",(M116-ABS(N($F116)))/$E116)</f>
        <v/>
      </c>
      <c r="AE116" s="26" t="n">
        <f aca="false">IF(OR(N116="",$E116="",N($E116)&lt;=0),"",(N116-ABS(N($F116)))/$E116)</f>
        <v>3.71913399648917</v>
      </c>
      <c r="AF116" s="26" t="str">
        <f aca="false">IF(OR(O116="",$E116="",N($E116)&lt;=0),"",(O116-ABS(N($F116)))/$E116)</f>
        <v/>
      </c>
      <c r="AG116" s="26" t="str">
        <f aca="false">IF(OR(P116="",$E116="",N($E116)&lt;=0),"",(P116-ABS(N($F116)))/$E116)</f>
        <v/>
      </c>
      <c r="AH116" s="26" t="str">
        <f aca="false">IF(OR(Q116="",$E116="",N($E116)&lt;=0),"",(Q116-ABS(N($F116)))/$E116)</f>
        <v/>
      </c>
      <c r="AI116" s="26" t="n">
        <f aca="false">IF(OR(R116="",$E116="",N($E116)&lt;=0),"",(R116-ABS(N($F116)))/$E116)</f>
        <v>6.64482153306027</v>
      </c>
      <c r="AJ116" s="26" t="str">
        <f aca="false">IF(OR(S116="",$E116="",N($E116)&lt;=0),"",(S116-ABS(N($F116)))/$E116)</f>
        <v/>
      </c>
      <c r="AK116" s="26" t="str">
        <f aca="false">IF(OR(T116="",$E116="",N($E116)&lt;=0),"",(T116-ABS(N($F116)))/$E116)</f>
        <v/>
      </c>
      <c r="AL116" s="26" t="str">
        <f aca="false">IF(OR(U116="",$E116="",N($E116)&lt;=0),"",(U116-ABS(N($F116)))/$E116)</f>
        <v/>
      </c>
      <c r="AM116" s="26" t="str">
        <f aca="false">IF(OR(V116="",$E116="",N($E116)&lt;=0),"",(V116-ABS(N($F116)))/$E116)</f>
        <v/>
      </c>
      <c r="AN116" s="26" t="str">
        <f aca="false">IF(OR(W116="",$E116="",N($E116)&lt;=0),"",(W116-ABS(N($F116)))/$E116)</f>
        <v/>
      </c>
      <c r="AO116" s="26" t="str">
        <f aca="false">IF(OR(X116="",$E116="",N($E116)&lt;=0),"",(X116-ABS(N($F116)))/$E116)</f>
        <v/>
      </c>
      <c r="AP116" s="26" t="str">
        <f aca="false">IF(OR(Y116="",$E116="",N($E116)&lt;=0),"",(Y116-ABS(N($F116)))/$E116)</f>
        <v/>
      </c>
    </row>
    <row r="117" customFormat="false" ht="15" hidden="false" customHeight="true" outlineLevel="0" collapsed="false">
      <c r="A117" s="9" t="s">
        <v>269</v>
      </c>
      <c r="B117" s="11" t="s">
        <v>326</v>
      </c>
      <c r="C117" s="11" t="s">
        <v>353</v>
      </c>
      <c r="D117" s="21" t="n">
        <v>24.6927</v>
      </c>
      <c r="E117" s="22" t="n">
        <v>3.937</v>
      </c>
      <c r="F117" s="22" t="n">
        <v>0.516</v>
      </c>
      <c r="G117" s="23" t="n">
        <v>532</v>
      </c>
      <c r="H117" s="11" t="s">
        <v>335</v>
      </c>
      <c r="I117" s="24" t="n">
        <f aca="false">MATCH(A117,'TEa input'!$A$6:$A$68,0)</f>
        <v>53</v>
      </c>
      <c r="J117" s="25" t="str">
        <f aca="false">IF(INDEX('TEa input'!$E$6:$E$68,$I117)="","",INDEX('TEa input'!$E$6:$E$68,$I117))</f>
        <v/>
      </c>
      <c r="K117" s="25" t="str">
        <f aca="false">IF(INDEX('TEa input'!$G$6:$G$68,$I117)="","",INDEX('TEa input'!$G$6:$G$68,$I117))</f>
        <v/>
      </c>
      <c r="L117" s="25" t="str">
        <f aca="false">IF(INDEX('TEa input'!$I$6:$I$68,$I117)="","",INDEX('TEa input'!$I$6:$I$68,$I117))</f>
        <v/>
      </c>
      <c r="M117" s="25" t="str">
        <f aca="false">IF(INDEX('TEa input'!$K$6:$K$68,$I117)="","",INDEX('TEa input'!$K$6:$K$68,$I117))</f>
        <v/>
      </c>
      <c r="N117" s="25" t="str">
        <f aca="false">IF(INDEX('TEa input'!$M$6:$M$68,$I117)="","",INDEX('TEa input'!$M$6:$M$68,$I117))</f>
        <v/>
      </c>
      <c r="O117" s="25" t="str">
        <f aca="false">IF(INDEX('TEa input'!$O$6:$O$68,$I117)="","",INDEX('TEa input'!$O$6:$O$68,$I117))</f>
        <v/>
      </c>
      <c r="P117" s="25" t="str">
        <f aca="false">IF(INDEX('TEa input'!$Q$6:$Q$68,$I117)="","",INDEX('TEa input'!$Q$6:$Q$68,$I117))</f>
        <v/>
      </c>
      <c r="Q117" s="25" t="str">
        <f aca="false">IF(INDEX('TEa input'!$R$6:$R$68,$I117)="","",INDEX('TEa input'!$R$6:$R$68,$I117))</f>
        <v/>
      </c>
      <c r="R117" s="25" t="str">
        <f aca="false">IF(INDEX('TEa input'!$T$6:$T$68,$I117)="","",INDEX('TEa input'!$T$6:$T$68,$I117))</f>
        <v/>
      </c>
      <c r="S117" s="25" t="str">
        <f aca="false">IF(INDEX('TEa input'!$Y$6:$Y$68,$I117)="","",INDEX('TEa input'!$Y$6:$Y$68,$I117))</f>
        <v/>
      </c>
      <c r="T117" s="25" t="str">
        <f aca="false">IF(INDEX('TEa input'!$Z$6:$Z$68,$I117)="","",INDEX('TEa input'!$Z$6:$Z$68,$I117))</f>
        <v/>
      </c>
      <c r="U117" s="25" t="str">
        <f aca="false">IF(INDEX('TEa input'!$AA$6:$AA$68,$I117)="","",INDEX('TEa input'!$AA$6:$AA$68,$I117))</f>
        <v/>
      </c>
      <c r="V117" s="25" t="str">
        <f aca="false">IF(INDEX('TEa input'!$AB$6:$AB$68,$I117)="","",INDEX('TEa input'!$AB$6:$AB$68,$I117))</f>
        <v/>
      </c>
      <c r="W117" s="25" t="str">
        <f aca="false">IF(INDEX('TEa input'!$AC$6:$AC$68,$I117)="","",INDEX('TEa input'!$AC$6:$AC$68,$I117))</f>
        <v/>
      </c>
      <c r="X117" s="25" t="str">
        <f aca="false">IF(INDEX('TEa input'!$AD$6:$AD$68,$I117)="","",INDEX('TEa input'!$AD$6:$AD$68,$I117))</f>
        <v/>
      </c>
      <c r="Y117" s="25" t="str">
        <f aca="false">IF(INDEX('TEa input'!$AF$6:$AF$68,$I117)="","",INDEX('TEa input'!$AF$6:$AF$68,$I117))</f>
        <v/>
      </c>
      <c r="AA117" s="26" t="str">
        <f aca="false">IF(OR(J117="",$E117="",N($E117)&lt;=0),"",(J117-ABS(N($F117)))/$E117)</f>
        <v/>
      </c>
      <c r="AB117" s="26" t="str">
        <f aca="false">IF(OR(K117="",$E117="",N($E117)&lt;=0),"",(K117-ABS(N($F117)))/$E117)</f>
        <v/>
      </c>
      <c r="AC117" s="26" t="str">
        <f aca="false">IF(OR(L117="",$E117="",N($E117)&lt;=0),"",(L117-ABS(N($F117)))/$E117)</f>
        <v/>
      </c>
      <c r="AD117" s="26" t="str">
        <f aca="false">IF(OR(M117="",$E117="",N($E117)&lt;=0),"",(M117-ABS(N($F117)))/$E117)</f>
        <v/>
      </c>
      <c r="AE117" s="26" t="str">
        <f aca="false">IF(OR(N117="",$E117="",N($E117)&lt;=0),"",(N117-ABS(N($F117)))/$E117)</f>
        <v/>
      </c>
      <c r="AF117" s="26" t="str">
        <f aca="false">IF(OR(O117="",$E117="",N($E117)&lt;=0),"",(O117-ABS(N($F117)))/$E117)</f>
        <v/>
      </c>
      <c r="AG117" s="26" t="str">
        <f aca="false">IF(OR(P117="",$E117="",N($E117)&lt;=0),"",(P117-ABS(N($F117)))/$E117)</f>
        <v/>
      </c>
      <c r="AH117" s="26" t="str">
        <f aca="false">IF(OR(Q117="",$E117="",N($E117)&lt;=0),"",(Q117-ABS(N($F117)))/$E117)</f>
        <v/>
      </c>
      <c r="AI117" s="26" t="str">
        <f aca="false">IF(OR(R117="",$E117="",N($E117)&lt;=0),"",(R117-ABS(N($F117)))/$E117)</f>
        <v/>
      </c>
      <c r="AJ117" s="26" t="str">
        <f aca="false">IF(OR(S117="",$E117="",N($E117)&lt;=0),"",(S117-ABS(N($F117)))/$E117)</f>
        <v/>
      </c>
      <c r="AK117" s="26" t="str">
        <f aca="false">IF(OR(T117="",$E117="",N($E117)&lt;=0),"",(T117-ABS(N($F117)))/$E117)</f>
        <v/>
      </c>
      <c r="AL117" s="26" t="str">
        <f aca="false">IF(OR(U117="",$E117="",N($E117)&lt;=0),"",(U117-ABS(N($F117)))/$E117)</f>
        <v/>
      </c>
      <c r="AM117" s="26" t="str">
        <f aca="false">IF(OR(V117="",$E117="",N($E117)&lt;=0),"",(V117-ABS(N($F117)))/$E117)</f>
        <v/>
      </c>
      <c r="AN117" s="26" t="str">
        <f aca="false">IF(OR(W117="",$E117="",N($E117)&lt;=0),"",(W117-ABS(N($F117)))/$E117)</f>
        <v/>
      </c>
      <c r="AO117" s="26" t="str">
        <f aca="false">IF(OR(X117="",$E117="",N($E117)&lt;=0),"",(X117-ABS(N($F117)))/$E117)</f>
        <v/>
      </c>
      <c r="AP117" s="26" t="str">
        <f aca="false">IF(OR(Y117="",$E117="",N($E117)&lt;=0),"",(Y117-ABS(N($F117)))/$E117)</f>
        <v/>
      </c>
    </row>
    <row r="118" customFormat="false" ht="15" hidden="false" customHeight="true" outlineLevel="0" collapsed="false">
      <c r="A118" s="9" t="s">
        <v>269</v>
      </c>
      <c r="B118" s="11" t="s">
        <v>329</v>
      </c>
      <c r="C118" s="11" t="s">
        <v>354</v>
      </c>
      <c r="D118" s="21" t="n">
        <v>52.8522</v>
      </c>
      <c r="E118" s="22" t="n">
        <v>3.734</v>
      </c>
      <c r="F118" s="22" t="n">
        <v>0.785</v>
      </c>
      <c r="G118" s="23" t="n">
        <v>519</v>
      </c>
      <c r="H118" s="11" t="s">
        <v>335</v>
      </c>
      <c r="I118" s="24" t="n">
        <f aca="false">MATCH(A118,'TEa input'!$A$6:$A$68,0)</f>
        <v>53</v>
      </c>
      <c r="J118" s="25" t="str">
        <f aca="false">IF(INDEX('TEa input'!$E$6:$E$68,$I118)="","",INDEX('TEa input'!$E$6:$E$68,$I118))</f>
        <v/>
      </c>
      <c r="K118" s="25" t="str">
        <f aca="false">IF(INDEX('TEa input'!$G$6:$G$68,$I118)="","",INDEX('TEa input'!$G$6:$G$68,$I118))</f>
        <v/>
      </c>
      <c r="L118" s="25" t="str">
        <f aca="false">IF(INDEX('TEa input'!$I$6:$I$68,$I118)="","",INDEX('TEa input'!$I$6:$I$68,$I118))</f>
        <v/>
      </c>
      <c r="M118" s="25" t="str">
        <f aca="false">IF(INDEX('TEa input'!$K$6:$K$68,$I118)="","",INDEX('TEa input'!$K$6:$K$68,$I118))</f>
        <v/>
      </c>
      <c r="N118" s="25" t="str">
        <f aca="false">IF(INDEX('TEa input'!$M$6:$M$68,$I118)="","",INDEX('TEa input'!$M$6:$M$68,$I118))</f>
        <v/>
      </c>
      <c r="O118" s="25" t="str">
        <f aca="false">IF(INDEX('TEa input'!$O$6:$O$68,$I118)="","",INDEX('TEa input'!$O$6:$O$68,$I118))</f>
        <v/>
      </c>
      <c r="P118" s="25" t="str">
        <f aca="false">IF(INDEX('TEa input'!$Q$6:$Q$68,$I118)="","",INDEX('TEa input'!$Q$6:$Q$68,$I118))</f>
        <v/>
      </c>
      <c r="Q118" s="25" t="str">
        <f aca="false">IF(INDEX('TEa input'!$R$6:$R$68,$I118)="","",INDEX('TEa input'!$R$6:$R$68,$I118))</f>
        <v/>
      </c>
      <c r="R118" s="25" t="str">
        <f aca="false">IF(INDEX('TEa input'!$T$6:$T$68,$I118)="","",INDEX('TEa input'!$T$6:$T$68,$I118))</f>
        <v/>
      </c>
      <c r="S118" s="25" t="str">
        <f aca="false">IF(INDEX('TEa input'!$Y$6:$Y$68,$I118)="","",INDEX('TEa input'!$Y$6:$Y$68,$I118))</f>
        <v/>
      </c>
      <c r="T118" s="25" t="str">
        <f aca="false">IF(INDEX('TEa input'!$Z$6:$Z$68,$I118)="","",INDEX('TEa input'!$Z$6:$Z$68,$I118))</f>
        <v/>
      </c>
      <c r="U118" s="25" t="str">
        <f aca="false">IF(INDEX('TEa input'!$AA$6:$AA$68,$I118)="","",INDEX('TEa input'!$AA$6:$AA$68,$I118))</f>
        <v/>
      </c>
      <c r="V118" s="25" t="str">
        <f aca="false">IF(INDEX('TEa input'!$AB$6:$AB$68,$I118)="","",INDEX('TEa input'!$AB$6:$AB$68,$I118))</f>
        <v/>
      </c>
      <c r="W118" s="25" t="str">
        <f aca="false">IF(INDEX('TEa input'!$AC$6:$AC$68,$I118)="","",INDEX('TEa input'!$AC$6:$AC$68,$I118))</f>
        <v/>
      </c>
      <c r="X118" s="25" t="str">
        <f aca="false">IF(INDEX('TEa input'!$AD$6:$AD$68,$I118)="","",INDEX('TEa input'!$AD$6:$AD$68,$I118))</f>
        <v/>
      </c>
      <c r="Y118" s="25" t="str">
        <f aca="false">IF(INDEX('TEa input'!$AF$6:$AF$68,$I118)="","",INDEX('TEa input'!$AF$6:$AF$68,$I118))</f>
        <v/>
      </c>
      <c r="AA118" s="26" t="str">
        <f aca="false">IF(OR(J118="",$E118="",N($E118)&lt;=0),"",(J118-ABS(N($F118)))/$E118)</f>
        <v/>
      </c>
      <c r="AB118" s="26" t="str">
        <f aca="false">IF(OR(K118="",$E118="",N($E118)&lt;=0),"",(K118-ABS(N($F118)))/$E118)</f>
        <v/>
      </c>
      <c r="AC118" s="26" t="str">
        <f aca="false">IF(OR(L118="",$E118="",N($E118)&lt;=0),"",(L118-ABS(N($F118)))/$E118)</f>
        <v/>
      </c>
      <c r="AD118" s="26" t="str">
        <f aca="false">IF(OR(M118="",$E118="",N($E118)&lt;=0),"",(M118-ABS(N($F118)))/$E118)</f>
        <v/>
      </c>
      <c r="AE118" s="26" t="str">
        <f aca="false">IF(OR(N118="",$E118="",N($E118)&lt;=0),"",(N118-ABS(N($F118)))/$E118)</f>
        <v/>
      </c>
      <c r="AF118" s="26" t="str">
        <f aca="false">IF(OR(O118="",$E118="",N($E118)&lt;=0),"",(O118-ABS(N($F118)))/$E118)</f>
        <v/>
      </c>
      <c r="AG118" s="26" t="str">
        <f aca="false">IF(OR(P118="",$E118="",N($E118)&lt;=0),"",(P118-ABS(N($F118)))/$E118)</f>
        <v/>
      </c>
      <c r="AH118" s="26" t="str">
        <f aca="false">IF(OR(Q118="",$E118="",N($E118)&lt;=0),"",(Q118-ABS(N($F118)))/$E118)</f>
        <v/>
      </c>
      <c r="AI118" s="26" t="str">
        <f aca="false">IF(OR(R118="",$E118="",N($E118)&lt;=0),"",(R118-ABS(N($F118)))/$E118)</f>
        <v/>
      </c>
      <c r="AJ118" s="26" t="str">
        <f aca="false">IF(OR(S118="",$E118="",N($E118)&lt;=0),"",(S118-ABS(N($F118)))/$E118)</f>
        <v/>
      </c>
      <c r="AK118" s="26" t="str">
        <f aca="false">IF(OR(T118="",$E118="",N($E118)&lt;=0),"",(T118-ABS(N($F118)))/$E118)</f>
        <v/>
      </c>
      <c r="AL118" s="26" t="str">
        <f aca="false">IF(OR(U118="",$E118="",N($E118)&lt;=0),"",(U118-ABS(N($F118)))/$E118)</f>
        <v/>
      </c>
      <c r="AM118" s="26" t="str">
        <f aca="false">IF(OR(V118="",$E118="",N($E118)&lt;=0),"",(V118-ABS(N($F118)))/$E118)</f>
        <v/>
      </c>
      <c r="AN118" s="26" t="str">
        <f aca="false">IF(OR(W118="",$E118="",N($E118)&lt;=0),"",(W118-ABS(N($F118)))/$E118)</f>
        <v/>
      </c>
      <c r="AO118" s="26" t="str">
        <f aca="false">IF(OR(X118="",$E118="",N($E118)&lt;=0),"",(X118-ABS(N($F118)))/$E118)</f>
        <v/>
      </c>
      <c r="AP118" s="26" t="str">
        <f aca="false">IF(OR(Y118="",$E118="",N($E118)&lt;=0),"",(Y118-ABS(N($F118)))/$E118)</f>
        <v/>
      </c>
    </row>
    <row r="119" customFormat="false" ht="15" hidden="false" customHeight="true" outlineLevel="0" collapsed="false">
      <c r="A119" s="9" t="s">
        <v>270</v>
      </c>
      <c r="B119" s="11" t="s">
        <v>326</v>
      </c>
      <c r="C119" s="11" t="s">
        <v>334</v>
      </c>
      <c r="D119" s="21" t="n">
        <v>4.73802</v>
      </c>
      <c r="E119" s="22" t="n">
        <v>12.395</v>
      </c>
      <c r="F119" s="22" t="n">
        <v>1.777</v>
      </c>
      <c r="G119" s="23" t="n">
        <v>1818</v>
      </c>
      <c r="H119" s="11" t="s">
        <v>338</v>
      </c>
      <c r="I119" s="24" t="n">
        <f aca="false">MATCH(A119,'TEa input'!$A$6:$A$68,0)</f>
        <v>54</v>
      </c>
      <c r="J119" s="25" t="str">
        <f aca="false">IF(INDEX('TEa input'!$E$6:$E$68,$I119)="","",INDEX('TEa input'!$E$6:$E$68,$I119))</f>
        <v/>
      </c>
      <c r="K119" s="25" t="n">
        <f aca="false">IF(INDEX('TEa input'!$G$6:$G$68,$I119)="","",INDEX('TEa input'!$G$6:$G$68,$I119))</f>
        <v>30</v>
      </c>
      <c r="L119" s="25" t="n">
        <f aca="false">IF(INDEX('TEa input'!$I$6:$I$68,$I119)="","",INDEX('TEa input'!$I$6:$I$68,$I119))</f>
        <v>25</v>
      </c>
      <c r="M119" s="25" t="str">
        <f aca="false">IF(INDEX('TEa input'!$K$6:$K$68,$I119)="","",INDEX('TEa input'!$K$6:$K$68,$I119))</f>
        <v/>
      </c>
      <c r="N119" s="25" t="n">
        <f aca="false">IF(INDEX('TEa input'!$M$6:$M$68,$I119)="","",INDEX('TEa input'!$M$6:$M$68,$I119))</f>
        <v>25</v>
      </c>
      <c r="O119" s="25" t="n">
        <f aca="false">IF(INDEX('TEa input'!$O$6:$O$68,$I119)="","",INDEX('TEa input'!$O$6:$O$68,$I119))</f>
        <v>30</v>
      </c>
      <c r="P119" s="25" t="str">
        <f aca="false">IF(INDEX('TEa input'!$Q$6:$Q$68,$I119)="","",INDEX('TEa input'!$Q$6:$Q$68,$I119))</f>
        <v/>
      </c>
      <c r="Q119" s="25" t="str">
        <f aca="false">IF(INDEX('TEa input'!$R$6:$R$68,$I119)="","",INDEX('TEa input'!$R$6:$R$68,$I119))</f>
        <v/>
      </c>
      <c r="R119" s="25" t="str">
        <f aca="false">IF(INDEX('TEa input'!$T$6:$T$68,$I119)="","",INDEX('TEa input'!$T$6:$T$68,$I119))</f>
        <v/>
      </c>
      <c r="S119" s="25" t="str">
        <f aca="false">IF(INDEX('TEa input'!$Y$6:$Y$68,$I119)="","",INDEX('TEa input'!$Y$6:$Y$68,$I119))</f>
        <v/>
      </c>
      <c r="T119" s="25" t="str">
        <f aca="false">IF(INDEX('TEa input'!$Z$6:$Z$68,$I119)="","",INDEX('TEa input'!$Z$6:$Z$68,$I119))</f>
        <v/>
      </c>
      <c r="U119" s="25" t="str">
        <f aca="false">IF(INDEX('TEa input'!$AA$6:$AA$68,$I119)="","",INDEX('TEa input'!$AA$6:$AA$68,$I119))</f>
        <v/>
      </c>
      <c r="V119" s="25" t="str">
        <f aca="false">IF(INDEX('TEa input'!$AB$6:$AB$68,$I119)="","",INDEX('TEa input'!$AB$6:$AB$68,$I119))</f>
        <v/>
      </c>
      <c r="W119" s="25" t="str">
        <f aca="false">IF(INDEX('TEa input'!$AC$6:$AC$68,$I119)="","",INDEX('TEa input'!$AC$6:$AC$68,$I119))</f>
        <v/>
      </c>
      <c r="X119" s="25" t="str">
        <f aca="false">IF(INDEX('TEa input'!$AD$6:$AD$68,$I119)="","",INDEX('TEa input'!$AD$6:$AD$68,$I119))</f>
        <v/>
      </c>
      <c r="Y119" s="25" t="str">
        <f aca="false">IF(INDEX('TEa input'!$AF$6:$AF$68,$I119)="","",INDEX('TEa input'!$AF$6:$AF$68,$I119))</f>
        <v/>
      </c>
      <c r="AA119" s="26" t="str">
        <f aca="false">IF(OR(J119="",$E119="",N($E119)&lt;=0),"",(J119-ABS(N($F119)))/$E119)</f>
        <v/>
      </c>
      <c r="AB119" s="26" t="n">
        <f aca="false">IF(OR(K119="",$E119="",N($E119)&lt;=0),"",(K119-ABS(N($F119)))/$E119)</f>
        <v>2.27696651875756</v>
      </c>
      <c r="AC119" s="26" t="n">
        <f aca="false">IF(OR(L119="",$E119="",N($E119)&lt;=0),"",(L119-ABS(N($F119)))/$E119)</f>
        <v>1.87357805566761</v>
      </c>
      <c r="AD119" s="26" t="str">
        <f aca="false">IF(OR(M119="",$E119="",N($E119)&lt;=0),"",(M119-ABS(N($F119)))/$E119)</f>
        <v/>
      </c>
      <c r="AE119" s="26" t="n">
        <f aca="false">IF(OR(N119="",$E119="",N($E119)&lt;=0),"",(N119-ABS(N($F119)))/$E119)</f>
        <v>1.87357805566761</v>
      </c>
      <c r="AF119" s="26" t="n">
        <f aca="false">IF(OR(O119="",$E119="",N($E119)&lt;=0),"",(O119-ABS(N($F119)))/$E119)</f>
        <v>2.27696651875756</v>
      </c>
      <c r="AG119" s="26" t="str">
        <f aca="false">IF(OR(P119="",$E119="",N($E119)&lt;=0),"",(P119-ABS(N($F119)))/$E119)</f>
        <v/>
      </c>
      <c r="AH119" s="26" t="str">
        <f aca="false">IF(OR(Q119="",$E119="",N($E119)&lt;=0),"",(Q119-ABS(N($F119)))/$E119)</f>
        <v/>
      </c>
      <c r="AI119" s="26" t="str">
        <f aca="false">IF(OR(R119="",$E119="",N($E119)&lt;=0),"",(R119-ABS(N($F119)))/$E119)</f>
        <v/>
      </c>
      <c r="AJ119" s="26" t="str">
        <f aca="false">IF(OR(S119="",$E119="",N($E119)&lt;=0),"",(S119-ABS(N($F119)))/$E119)</f>
        <v/>
      </c>
      <c r="AK119" s="26" t="str">
        <f aca="false">IF(OR(T119="",$E119="",N($E119)&lt;=0),"",(T119-ABS(N($F119)))/$E119)</f>
        <v/>
      </c>
      <c r="AL119" s="26" t="str">
        <f aca="false">IF(OR(U119="",$E119="",N($E119)&lt;=0),"",(U119-ABS(N($F119)))/$E119)</f>
        <v/>
      </c>
      <c r="AM119" s="26" t="str">
        <f aca="false">IF(OR(V119="",$E119="",N($E119)&lt;=0),"",(V119-ABS(N($F119)))/$E119)</f>
        <v/>
      </c>
      <c r="AN119" s="26" t="str">
        <f aca="false">IF(OR(W119="",$E119="",N($E119)&lt;=0),"",(W119-ABS(N($F119)))/$E119)</f>
        <v/>
      </c>
      <c r="AO119" s="26" t="str">
        <f aca="false">IF(OR(X119="",$E119="",N($E119)&lt;=0),"",(X119-ABS(N($F119)))/$E119)</f>
        <v/>
      </c>
      <c r="AP119" s="26" t="str">
        <f aca="false">IF(OR(Y119="",$E119="",N($E119)&lt;=0),"",(Y119-ABS(N($F119)))/$E119)</f>
        <v/>
      </c>
    </row>
    <row r="120" customFormat="false" ht="15" hidden="false" customHeight="true" outlineLevel="0" collapsed="false">
      <c r="A120" s="9" t="s">
        <v>270</v>
      </c>
      <c r="B120" s="11" t="s">
        <v>329</v>
      </c>
      <c r="C120" s="11" t="s">
        <v>336</v>
      </c>
      <c r="D120" s="21" t="n">
        <v>19.5068</v>
      </c>
      <c r="E120" s="22" t="n">
        <v>8.041</v>
      </c>
      <c r="F120" s="22" t="n">
        <v>1.882</v>
      </c>
      <c r="G120" s="23" t="n">
        <v>1823</v>
      </c>
      <c r="H120" s="11" t="s">
        <v>335</v>
      </c>
      <c r="I120" s="24" t="n">
        <f aca="false">MATCH(A120,'TEa input'!$A$6:$A$68,0)</f>
        <v>54</v>
      </c>
      <c r="J120" s="25" t="str">
        <f aca="false">IF(INDEX('TEa input'!$E$6:$E$68,$I120)="","",INDEX('TEa input'!$E$6:$E$68,$I120))</f>
        <v/>
      </c>
      <c r="K120" s="25" t="n">
        <f aca="false">IF(INDEX('TEa input'!$G$6:$G$68,$I120)="","",INDEX('TEa input'!$G$6:$G$68,$I120))</f>
        <v>30</v>
      </c>
      <c r="L120" s="25" t="n">
        <f aca="false">IF(INDEX('TEa input'!$I$6:$I$68,$I120)="","",INDEX('TEa input'!$I$6:$I$68,$I120))</f>
        <v>25</v>
      </c>
      <c r="M120" s="25" t="str">
        <f aca="false">IF(INDEX('TEa input'!$K$6:$K$68,$I120)="","",INDEX('TEa input'!$K$6:$K$68,$I120))</f>
        <v/>
      </c>
      <c r="N120" s="25" t="n">
        <f aca="false">IF(INDEX('TEa input'!$M$6:$M$68,$I120)="","",INDEX('TEa input'!$M$6:$M$68,$I120))</f>
        <v>25</v>
      </c>
      <c r="O120" s="25" t="n">
        <f aca="false">IF(INDEX('TEa input'!$O$6:$O$68,$I120)="","",INDEX('TEa input'!$O$6:$O$68,$I120))</f>
        <v>30</v>
      </c>
      <c r="P120" s="25" t="str">
        <f aca="false">IF(INDEX('TEa input'!$Q$6:$Q$68,$I120)="","",INDEX('TEa input'!$Q$6:$Q$68,$I120))</f>
        <v/>
      </c>
      <c r="Q120" s="25" t="str">
        <f aca="false">IF(INDEX('TEa input'!$R$6:$R$68,$I120)="","",INDEX('TEa input'!$R$6:$R$68,$I120))</f>
        <v/>
      </c>
      <c r="R120" s="25" t="str">
        <f aca="false">IF(INDEX('TEa input'!$T$6:$T$68,$I120)="","",INDEX('TEa input'!$T$6:$T$68,$I120))</f>
        <v/>
      </c>
      <c r="S120" s="25" t="str">
        <f aca="false">IF(INDEX('TEa input'!$Y$6:$Y$68,$I120)="","",INDEX('TEa input'!$Y$6:$Y$68,$I120))</f>
        <v/>
      </c>
      <c r="T120" s="25" t="str">
        <f aca="false">IF(INDEX('TEa input'!$Z$6:$Z$68,$I120)="","",INDEX('TEa input'!$Z$6:$Z$68,$I120))</f>
        <v/>
      </c>
      <c r="U120" s="25" t="str">
        <f aca="false">IF(INDEX('TEa input'!$AA$6:$AA$68,$I120)="","",INDEX('TEa input'!$AA$6:$AA$68,$I120))</f>
        <v/>
      </c>
      <c r="V120" s="25" t="str">
        <f aca="false">IF(INDEX('TEa input'!$AB$6:$AB$68,$I120)="","",INDEX('TEa input'!$AB$6:$AB$68,$I120))</f>
        <v/>
      </c>
      <c r="W120" s="25" t="str">
        <f aca="false">IF(INDEX('TEa input'!$AC$6:$AC$68,$I120)="","",INDEX('TEa input'!$AC$6:$AC$68,$I120))</f>
        <v/>
      </c>
      <c r="X120" s="25" t="str">
        <f aca="false">IF(INDEX('TEa input'!$AD$6:$AD$68,$I120)="","",INDEX('TEa input'!$AD$6:$AD$68,$I120))</f>
        <v/>
      </c>
      <c r="Y120" s="25" t="str">
        <f aca="false">IF(INDEX('TEa input'!$AF$6:$AF$68,$I120)="","",INDEX('TEa input'!$AF$6:$AF$68,$I120))</f>
        <v/>
      </c>
      <c r="AA120" s="26" t="str">
        <f aca="false">IF(OR(J120="",$E120="",N($E120)&lt;=0),"",(J120-ABS(N($F120)))/$E120)</f>
        <v/>
      </c>
      <c r="AB120" s="26" t="n">
        <f aca="false">IF(OR(K120="",$E120="",N($E120)&lt;=0),"",(K120-ABS(N($F120)))/$E120)</f>
        <v>3.49682875264271</v>
      </c>
      <c r="AC120" s="26" t="n">
        <f aca="false">IF(OR(L120="",$E120="",N($E120)&lt;=0),"",(L120-ABS(N($F120)))/$E120)</f>
        <v>2.87501554533018</v>
      </c>
      <c r="AD120" s="26" t="str">
        <f aca="false">IF(OR(M120="",$E120="",N($E120)&lt;=0),"",(M120-ABS(N($F120)))/$E120)</f>
        <v/>
      </c>
      <c r="AE120" s="26" t="n">
        <f aca="false">IF(OR(N120="",$E120="",N($E120)&lt;=0),"",(N120-ABS(N($F120)))/$E120)</f>
        <v>2.87501554533018</v>
      </c>
      <c r="AF120" s="26" t="n">
        <f aca="false">IF(OR(O120="",$E120="",N($E120)&lt;=0),"",(O120-ABS(N($F120)))/$E120)</f>
        <v>3.49682875264271</v>
      </c>
      <c r="AG120" s="26" t="str">
        <f aca="false">IF(OR(P120="",$E120="",N($E120)&lt;=0),"",(P120-ABS(N($F120)))/$E120)</f>
        <v/>
      </c>
      <c r="AH120" s="26" t="str">
        <f aca="false">IF(OR(Q120="",$E120="",N($E120)&lt;=0),"",(Q120-ABS(N($F120)))/$E120)</f>
        <v/>
      </c>
      <c r="AI120" s="26" t="str">
        <f aca="false">IF(OR(R120="",$E120="",N($E120)&lt;=0),"",(R120-ABS(N($F120)))/$E120)</f>
        <v/>
      </c>
      <c r="AJ120" s="26" t="str">
        <f aca="false">IF(OR(S120="",$E120="",N($E120)&lt;=0),"",(S120-ABS(N($F120)))/$E120)</f>
        <v/>
      </c>
      <c r="AK120" s="26" t="str">
        <f aca="false">IF(OR(T120="",$E120="",N($E120)&lt;=0),"",(T120-ABS(N($F120)))/$E120)</f>
        <v/>
      </c>
      <c r="AL120" s="26" t="str">
        <f aca="false">IF(OR(U120="",$E120="",N($E120)&lt;=0),"",(U120-ABS(N($F120)))/$E120)</f>
        <v/>
      </c>
      <c r="AM120" s="26" t="str">
        <f aca="false">IF(OR(V120="",$E120="",N($E120)&lt;=0),"",(V120-ABS(N($F120)))/$E120)</f>
        <v/>
      </c>
      <c r="AN120" s="26" t="str">
        <f aca="false">IF(OR(W120="",$E120="",N($E120)&lt;=0),"",(W120-ABS(N($F120)))/$E120)</f>
        <v/>
      </c>
      <c r="AO120" s="26" t="str">
        <f aca="false">IF(OR(X120="",$E120="",N($E120)&lt;=0),"",(X120-ABS(N($F120)))/$E120)</f>
        <v/>
      </c>
      <c r="AP120" s="26" t="str">
        <f aca="false">IF(OR(Y120="",$E120="",N($E120)&lt;=0),"",(Y120-ABS(N($F120)))/$E120)</f>
        <v/>
      </c>
    </row>
    <row r="121" customFormat="false" ht="15" hidden="false" customHeight="true" outlineLevel="0" collapsed="false">
      <c r="A121" s="9" t="s">
        <v>275</v>
      </c>
      <c r="B121" s="11" t="s">
        <v>326</v>
      </c>
      <c r="C121" s="11" t="s">
        <v>355</v>
      </c>
      <c r="D121" s="21" t="n">
        <v>0.52304</v>
      </c>
      <c r="E121" s="22" t="n">
        <v>3.219</v>
      </c>
      <c r="F121" s="22" t="n">
        <v>0.597</v>
      </c>
      <c r="G121" s="23" t="n">
        <v>858</v>
      </c>
      <c r="H121" s="11" t="s">
        <v>335</v>
      </c>
      <c r="I121" s="24" t="n">
        <f aca="false">MATCH(A121,'TEa input'!$A$6:$A$68,0)</f>
        <v>55</v>
      </c>
      <c r="J121" s="25" t="str">
        <f aca="false">IF(INDEX('TEa input'!$E$6:$E$68,$I121)="","",INDEX('TEa input'!$E$6:$E$68,$I121))</f>
        <v/>
      </c>
      <c r="K121" s="25" t="str">
        <f aca="false">IF(INDEX('TEa input'!$G$6:$G$68,$I121)="","",INDEX('TEa input'!$G$6:$G$68,$I121))</f>
        <v/>
      </c>
      <c r="L121" s="25" t="n">
        <f aca="false">IF(INDEX('TEa input'!$I$6:$I$68,$I121)="","",INDEX('TEa input'!$I$6:$I$68,$I121))</f>
        <v>18</v>
      </c>
      <c r="M121" s="25" t="str">
        <f aca="false">IF(INDEX('TEa input'!$K$6:$K$68,$I121)="","",INDEX('TEa input'!$K$6:$K$68,$I121))</f>
        <v/>
      </c>
      <c r="N121" s="25" t="str">
        <f aca="false">IF(INDEX('TEa input'!$M$6:$M$68,$I121)="","",INDEX('TEa input'!$M$6:$M$68,$I121))</f>
        <v/>
      </c>
      <c r="O121" s="25" t="str">
        <f aca="false">IF(INDEX('TEa input'!$O$6:$O$68,$I121)="","",INDEX('TEa input'!$O$6:$O$68,$I121))</f>
        <v/>
      </c>
      <c r="P121" s="25" t="str">
        <f aca="false">IF(INDEX('TEa input'!$Q$6:$Q$68,$I121)="","",INDEX('TEa input'!$Q$6:$Q$68,$I121))</f>
        <v/>
      </c>
      <c r="Q121" s="25" t="str">
        <f aca="false">IF(INDEX('TEa input'!$R$6:$R$68,$I121)="","",INDEX('TEa input'!$R$6:$R$68,$I121))</f>
        <v/>
      </c>
      <c r="R121" s="25" t="str">
        <f aca="false">IF(INDEX('TEa input'!$T$6:$T$68,$I121)="","",INDEX('TEa input'!$T$6:$T$68,$I121))</f>
        <v/>
      </c>
      <c r="S121" s="25" t="str">
        <f aca="false">IF(INDEX('TEa input'!$Y$6:$Y$68,$I121)="","",INDEX('TEa input'!$Y$6:$Y$68,$I121))</f>
        <v/>
      </c>
      <c r="T121" s="25" t="str">
        <f aca="false">IF(INDEX('TEa input'!$Z$6:$Z$68,$I121)="","",INDEX('TEa input'!$Z$6:$Z$68,$I121))</f>
        <v/>
      </c>
      <c r="U121" s="25" t="str">
        <f aca="false">IF(INDEX('TEa input'!$AA$6:$AA$68,$I121)="","",INDEX('TEa input'!$AA$6:$AA$68,$I121))</f>
        <v/>
      </c>
      <c r="V121" s="25" t="str">
        <f aca="false">IF(INDEX('TEa input'!$AB$6:$AB$68,$I121)="","",INDEX('TEa input'!$AB$6:$AB$68,$I121))</f>
        <v/>
      </c>
      <c r="W121" s="25" t="str">
        <f aca="false">IF(INDEX('TEa input'!$AC$6:$AC$68,$I121)="","",INDEX('TEa input'!$AC$6:$AC$68,$I121))</f>
        <v/>
      </c>
      <c r="X121" s="25" t="str">
        <f aca="false">IF(INDEX('TEa input'!$AD$6:$AD$68,$I121)="","",INDEX('TEa input'!$AD$6:$AD$68,$I121))</f>
        <v/>
      </c>
      <c r="Y121" s="25" t="str">
        <f aca="false">IF(INDEX('TEa input'!$AF$6:$AF$68,$I121)="","",INDEX('TEa input'!$AF$6:$AF$68,$I121))</f>
        <v/>
      </c>
      <c r="AA121" s="26" t="str">
        <f aca="false">IF(OR(J121="",$E121="",N($E121)&lt;=0),"",(J121-ABS(N($F121)))/$E121)</f>
        <v/>
      </c>
      <c r="AB121" s="26" t="str">
        <f aca="false">IF(OR(K121="",$E121="",N($E121)&lt;=0),"",(K121-ABS(N($F121)))/$E121)</f>
        <v/>
      </c>
      <c r="AC121" s="26" t="n">
        <f aca="false">IF(OR(L121="",$E121="",N($E121)&lt;=0),"",(L121-ABS(N($F121)))/$E121)</f>
        <v>5.40633737185461</v>
      </c>
      <c r="AD121" s="26" t="str">
        <f aca="false">IF(OR(M121="",$E121="",N($E121)&lt;=0),"",(M121-ABS(N($F121)))/$E121)</f>
        <v/>
      </c>
      <c r="AE121" s="26" t="str">
        <f aca="false">IF(OR(N121="",$E121="",N($E121)&lt;=0),"",(N121-ABS(N($F121)))/$E121)</f>
        <v/>
      </c>
      <c r="AF121" s="26" t="str">
        <f aca="false">IF(OR(O121="",$E121="",N($E121)&lt;=0),"",(O121-ABS(N($F121)))/$E121)</f>
        <v/>
      </c>
      <c r="AG121" s="26" t="str">
        <f aca="false">IF(OR(P121="",$E121="",N($E121)&lt;=0),"",(P121-ABS(N($F121)))/$E121)</f>
        <v/>
      </c>
      <c r="AH121" s="26" t="str">
        <f aca="false">IF(OR(Q121="",$E121="",N($E121)&lt;=0),"",(Q121-ABS(N($F121)))/$E121)</f>
        <v/>
      </c>
      <c r="AI121" s="26" t="str">
        <f aca="false">IF(OR(R121="",$E121="",N($E121)&lt;=0),"",(R121-ABS(N($F121)))/$E121)</f>
        <v/>
      </c>
      <c r="AJ121" s="26" t="str">
        <f aca="false">IF(OR(S121="",$E121="",N($E121)&lt;=0),"",(S121-ABS(N($F121)))/$E121)</f>
        <v/>
      </c>
      <c r="AK121" s="26" t="str">
        <f aca="false">IF(OR(T121="",$E121="",N($E121)&lt;=0),"",(T121-ABS(N($F121)))/$E121)</f>
        <v/>
      </c>
      <c r="AL121" s="26" t="str">
        <f aca="false">IF(OR(U121="",$E121="",N($E121)&lt;=0),"",(U121-ABS(N($F121)))/$E121)</f>
        <v/>
      </c>
      <c r="AM121" s="26" t="str">
        <f aca="false">IF(OR(V121="",$E121="",N($E121)&lt;=0),"",(V121-ABS(N($F121)))/$E121)</f>
        <v/>
      </c>
      <c r="AN121" s="26" t="str">
        <f aca="false">IF(OR(W121="",$E121="",N($E121)&lt;=0),"",(W121-ABS(N($F121)))/$E121)</f>
        <v/>
      </c>
      <c r="AO121" s="26" t="str">
        <f aca="false">IF(OR(X121="",$E121="",N($E121)&lt;=0),"",(X121-ABS(N($F121)))/$E121)</f>
        <v/>
      </c>
      <c r="AP121" s="26" t="str">
        <f aca="false">IF(OR(Y121="",$E121="",N($E121)&lt;=0),"",(Y121-ABS(N($F121)))/$E121)</f>
        <v/>
      </c>
    </row>
    <row r="122" customFormat="false" ht="15" hidden="false" customHeight="true" outlineLevel="0" collapsed="false">
      <c r="A122" s="9" t="s">
        <v>275</v>
      </c>
      <c r="B122" s="11" t="s">
        <v>329</v>
      </c>
      <c r="C122" s="11" t="s">
        <v>356</v>
      </c>
      <c r="D122" s="21" t="n">
        <v>9.59064</v>
      </c>
      <c r="E122" s="22" t="n">
        <v>3.073</v>
      </c>
      <c r="F122" s="22" t="n">
        <v>0.104</v>
      </c>
      <c r="G122" s="23" t="n">
        <v>859</v>
      </c>
      <c r="H122" s="11" t="s">
        <v>335</v>
      </c>
      <c r="I122" s="24" t="n">
        <f aca="false">MATCH(A122,'TEa input'!$A$6:$A$68,0)</f>
        <v>55</v>
      </c>
      <c r="J122" s="25" t="str">
        <f aca="false">IF(INDEX('TEa input'!$E$6:$E$68,$I122)="","",INDEX('TEa input'!$E$6:$E$68,$I122))</f>
        <v/>
      </c>
      <c r="K122" s="25" t="str">
        <f aca="false">IF(INDEX('TEa input'!$G$6:$G$68,$I122)="","",INDEX('TEa input'!$G$6:$G$68,$I122))</f>
        <v/>
      </c>
      <c r="L122" s="25" t="n">
        <f aca="false">IF(INDEX('TEa input'!$I$6:$I$68,$I122)="","",INDEX('TEa input'!$I$6:$I$68,$I122))</f>
        <v>18</v>
      </c>
      <c r="M122" s="25" t="str">
        <f aca="false">IF(INDEX('TEa input'!$K$6:$K$68,$I122)="","",INDEX('TEa input'!$K$6:$K$68,$I122))</f>
        <v/>
      </c>
      <c r="N122" s="25" t="str">
        <f aca="false">IF(INDEX('TEa input'!$M$6:$M$68,$I122)="","",INDEX('TEa input'!$M$6:$M$68,$I122))</f>
        <v/>
      </c>
      <c r="O122" s="25" t="str">
        <f aca="false">IF(INDEX('TEa input'!$O$6:$O$68,$I122)="","",INDEX('TEa input'!$O$6:$O$68,$I122))</f>
        <v/>
      </c>
      <c r="P122" s="25" t="str">
        <f aca="false">IF(INDEX('TEa input'!$Q$6:$Q$68,$I122)="","",INDEX('TEa input'!$Q$6:$Q$68,$I122))</f>
        <v/>
      </c>
      <c r="Q122" s="25" t="str">
        <f aca="false">IF(INDEX('TEa input'!$R$6:$R$68,$I122)="","",INDEX('TEa input'!$R$6:$R$68,$I122))</f>
        <v/>
      </c>
      <c r="R122" s="25" t="str">
        <f aca="false">IF(INDEX('TEa input'!$T$6:$T$68,$I122)="","",INDEX('TEa input'!$T$6:$T$68,$I122))</f>
        <v/>
      </c>
      <c r="S122" s="25" t="str">
        <f aca="false">IF(INDEX('TEa input'!$Y$6:$Y$68,$I122)="","",INDEX('TEa input'!$Y$6:$Y$68,$I122))</f>
        <v/>
      </c>
      <c r="T122" s="25" t="str">
        <f aca="false">IF(INDEX('TEa input'!$Z$6:$Z$68,$I122)="","",INDEX('TEa input'!$Z$6:$Z$68,$I122))</f>
        <v/>
      </c>
      <c r="U122" s="25" t="str">
        <f aca="false">IF(INDEX('TEa input'!$AA$6:$AA$68,$I122)="","",INDEX('TEa input'!$AA$6:$AA$68,$I122))</f>
        <v/>
      </c>
      <c r="V122" s="25" t="str">
        <f aca="false">IF(INDEX('TEa input'!$AB$6:$AB$68,$I122)="","",INDEX('TEa input'!$AB$6:$AB$68,$I122))</f>
        <v/>
      </c>
      <c r="W122" s="25" t="str">
        <f aca="false">IF(INDEX('TEa input'!$AC$6:$AC$68,$I122)="","",INDEX('TEa input'!$AC$6:$AC$68,$I122))</f>
        <v/>
      </c>
      <c r="X122" s="25" t="str">
        <f aca="false">IF(INDEX('TEa input'!$AD$6:$AD$68,$I122)="","",INDEX('TEa input'!$AD$6:$AD$68,$I122))</f>
        <v/>
      </c>
      <c r="Y122" s="25" t="str">
        <f aca="false">IF(INDEX('TEa input'!$AF$6:$AF$68,$I122)="","",INDEX('TEa input'!$AF$6:$AF$68,$I122))</f>
        <v/>
      </c>
      <c r="AA122" s="26" t="str">
        <f aca="false">IF(OR(J122="",$E122="",N($E122)&lt;=0),"",(J122-ABS(N($F122)))/$E122)</f>
        <v/>
      </c>
      <c r="AB122" s="26" t="str">
        <f aca="false">IF(OR(K122="",$E122="",N($E122)&lt;=0),"",(K122-ABS(N($F122)))/$E122)</f>
        <v/>
      </c>
      <c r="AC122" s="26" t="n">
        <f aca="false">IF(OR(L122="",$E122="",N($E122)&lt;=0),"",(L122-ABS(N($F122)))/$E122)</f>
        <v>5.82362512203059</v>
      </c>
      <c r="AD122" s="26" t="str">
        <f aca="false">IF(OR(M122="",$E122="",N($E122)&lt;=0),"",(M122-ABS(N($F122)))/$E122)</f>
        <v/>
      </c>
      <c r="AE122" s="26" t="str">
        <f aca="false">IF(OR(N122="",$E122="",N($E122)&lt;=0),"",(N122-ABS(N($F122)))/$E122)</f>
        <v/>
      </c>
      <c r="AF122" s="26" t="str">
        <f aca="false">IF(OR(O122="",$E122="",N($E122)&lt;=0),"",(O122-ABS(N($F122)))/$E122)</f>
        <v/>
      </c>
      <c r="AG122" s="26" t="str">
        <f aca="false">IF(OR(P122="",$E122="",N($E122)&lt;=0),"",(P122-ABS(N($F122)))/$E122)</f>
        <v/>
      </c>
      <c r="AH122" s="26" t="str">
        <f aca="false">IF(OR(Q122="",$E122="",N($E122)&lt;=0),"",(Q122-ABS(N($F122)))/$E122)</f>
        <v/>
      </c>
      <c r="AI122" s="26" t="str">
        <f aca="false">IF(OR(R122="",$E122="",N($E122)&lt;=0),"",(R122-ABS(N($F122)))/$E122)</f>
        <v/>
      </c>
      <c r="AJ122" s="26" t="str">
        <f aca="false">IF(OR(S122="",$E122="",N($E122)&lt;=0),"",(S122-ABS(N($F122)))/$E122)</f>
        <v/>
      </c>
      <c r="AK122" s="26" t="str">
        <f aca="false">IF(OR(T122="",$E122="",N($E122)&lt;=0),"",(T122-ABS(N($F122)))/$E122)</f>
        <v/>
      </c>
      <c r="AL122" s="26" t="str">
        <f aca="false">IF(OR(U122="",$E122="",N($E122)&lt;=0),"",(U122-ABS(N($F122)))/$E122)</f>
        <v/>
      </c>
      <c r="AM122" s="26" t="str">
        <f aca="false">IF(OR(V122="",$E122="",N($E122)&lt;=0),"",(V122-ABS(N($F122)))/$E122)</f>
        <v/>
      </c>
      <c r="AN122" s="26" t="str">
        <f aca="false">IF(OR(W122="",$E122="",N($E122)&lt;=0),"",(W122-ABS(N($F122)))/$E122)</f>
        <v/>
      </c>
      <c r="AO122" s="26" t="str">
        <f aca="false">IF(OR(X122="",$E122="",N($E122)&lt;=0),"",(X122-ABS(N($F122)))/$E122)</f>
        <v/>
      </c>
      <c r="AP122" s="26" t="str">
        <f aca="false">IF(OR(Y122="",$E122="",N($E122)&lt;=0),"",(Y122-ABS(N($F122)))/$E122)</f>
        <v/>
      </c>
    </row>
    <row r="123" customFormat="false" ht="15" hidden="false" customHeight="true" outlineLevel="0" collapsed="false">
      <c r="A123" s="9" t="s">
        <v>276</v>
      </c>
      <c r="B123" s="11" t="s">
        <v>326</v>
      </c>
      <c r="C123" s="11" t="s">
        <v>334</v>
      </c>
      <c r="D123" s="21" t="n">
        <v>261.528</v>
      </c>
      <c r="E123" s="22" t="n">
        <v>2.921</v>
      </c>
      <c r="F123" s="22" t="n">
        <v>0.373</v>
      </c>
      <c r="G123" s="23" t="n">
        <v>945</v>
      </c>
      <c r="H123" s="11" t="s">
        <v>337</v>
      </c>
      <c r="I123" s="24" t="n">
        <f aca="false">MATCH(A123,'TEa input'!$A$6:$A$68,0)</f>
        <v>56</v>
      </c>
      <c r="J123" s="25" t="str">
        <f aca="false">IF(INDEX('TEa input'!$E$6:$E$68,$I123)="","",INDEX('TEa input'!$E$6:$E$68,$I123))</f>
        <v/>
      </c>
      <c r="K123" s="25" t="n">
        <f aca="false">IF(INDEX('TEa input'!$G$6:$G$68,$I123)="","",INDEX('TEa input'!$G$6:$G$68,$I123))</f>
        <v>20</v>
      </c>
      <c r="L123" s="25" t="n">
        <f aca="false">IF(INDEX('TEa input'!$I$6:$I$68,$I123)="","",INDEX('TEa input'!$I$6:$I$68,$I123))</f>
        <v>16</v>
      </c>
      <c r="M123" s="25" t="str">
        <f aca="false">IF(INDEX('TEa input'!$K$6:$K$68,$I123)="","",INDEX('TEa input'!$K$6:$K$68,$I123))</f>
        <v/>
      </c>
      <c r="N123" s="25" t="n">
        <f aca="false">IF(INDEX('TEa input'!$M$6:$M$68,$I123)="","",INDEX('TEa input'!$M$6:$M$68,$I123))</f>
        <v>15</v>
      </c>
      <c r="O123" s="25" t="n">
        <f aca="false">IF(INDEX('TEa input'!$O$6:$O$68,$I123)="","",INDEX('TEa input'!$O$6:$O$68,$I123))</f>
        <v>20</v>
      </c>
      <c r="P123" s="25" t="n">
        <f aca="false">IF(INDEX('TEa input'!$Q$6:$Q$68,$I123)="","",INDEX('TEa input'!$Q$6:$Q$68,$I123))</f>
        <v>16</v>
      </c>
      <c r="Q123" s="25" t="str">
        <f aca="false">IF(INDEX('TEa input'!$R$6:$R$68,$I123)="","",INDEX('TEa input'!$R$6:$R$68,$I123))</f>
        <v/>
      </c>
      <c r="R123" s="25" t="str">
        <f aca="false">IF(INDEX('TEa input'!$T$6:$T$68,$I123)="","",INDEX('TEa input'!$T$6:$T$68,$I123))</f>
        <v/>
      </c>
      <c r="S123" s="25" t="str">
        <f aca="false">IF(INDEX('TEa input'!$Y$6:$Y$68,$I123)="","",INDEX('TEa input'!$Y$6:$Y$68,$I123))</f>
        <v/>
      </c>
      <c r="T123" s="25" t="str">
        <f aca="false">IF(INDEX('TEa input'!$Z$6:$Z$68,$I123)="","",INDEX('TEa input'!$Z$6:$Z$68,$I123))</f>
        <v/>
      </c>
      <c r="U123" s="25" t="str">
        <f aca="false">IF(INDEX('TEa input'!$AA$6:$AA$68,$I123)="","",INDEX('TEa input'!$AA$6:$AA$68,$I123))</f>
        <v/>
      </c>
      <c r="V123" s="25" t="str">
        <f aca="false">IF(INDEX('TEa input'!$AB$6:$AB$68,$I123)="","",INDEX('TEa input'!$AB$6:$AB$68,$I123))</f>
        <v/>
      </c>
      <c r="W123" s="25" t="n">
        <f aca="false">IF(INDEX('TEa input'!$AC$6:$AC$68,$I123)="","",INDEX('TEa input'!$AC$6:$AC$68,$I123))</f>
        <v>22.8</v>
      </c>
      <c r="X123" s="25" t="str">
        <f aca="false">IF(INDEX('TEa input'!$AD$6:$AD$68,$I123)="","",INDEX('TEa input'!$AD$6:$AD$68,$I123))</f>
        <v/>
      </c>
      <c r="Y123" s="25" t="str">
        <f aca="false">IF(INDEX('TEa input'!$AF$6:$AF$68,$I123)="","",INDEX('TEa input'!$AF$6:$AF$68,$I123))</f>
        <v/>
      </c>
      <c r="AA123" s="26" t="str">
        <f aca="false">IF(OR(J123="",$E123="",N($E123)&lt;=0),"",(J123-ABS(N($F123)))/$E123)</f>
        <v/>
      </c>
      <c r="AB123" s="26" t="n">
        <f aca="false">IF(OR(K123="",$E123="",N($E123)&lt;=0),"",(K123-ABS(N($F123)))/$E123)</f>
        <v>6.71927422115714</v>
      </c>
      <c r="AC123" s="26" t="n">
        <f aca="false">IF(OR(L123="",$E123="",N($E123)&lt;=0),"",(L123-ABS(N($F123)))/$E123)</f>
        <v>5.34988017802123</v>
      </c>
      <c r="AD123" s="26" t="str">
        <f aca="false">IF(OR(M123="",$E123="",N($E123)&lt;=0),"",(M123-ABS(N($F123)))/$E123)</f>
        <v/>
      </c>
      <c r="AE123" s="26" t="n">
        <f aca="false">IF(OR(N123="",$E123="",N($E123)&lt;=0),"",(N123-ABS(N($F123)))/$E123)</f>
        <v>5.00753166723725</v>
      </c>
      <c r="AF123" s="26" t="n">
        <f aca="false">IF(OR(O123="",$E123="",N($E123)&lt;=0),"",(O123-ABS(N($F123)))/$E123)</f>
        <v>6.71927422115714</v>
      </c>
      <c r="AG123" s="26" t="n">
        <f aca="false">IF(OR(P123="",$E123="",N($E123)&lt;=0),"",(P123-ABS(N($F123)))/$E123)</f>
        <v>5.34988017802123</v>
      </c>
      <c r="AH123" s="26" t="str">
        <f aca="false">IF(OR(Q123="",$E123="",N($E123)&lt;=0),"",(Q123-ABS(N($F123)))/$E123)</f>
        <v/>
      </c>
      <c r="AI123" s="26" t="str">
        <f aca="false">IF(OR(R123="",$E123="",N($E123)&lt;=0),"",(R123-ABS(N($F123)))/$E123)</f>
        <v/>
      </c>
      <c r="AJ123" s="26" t="str">
        <f aca="false">IF(OR(S123="",$E123="",N($E123)&lt;=0),"",(S123-ABS(N($F123)))/$E123)</f>
        <v/>
      </c>
      <c r="AK123" s="26" t="str">
        <f aca="false">IF(OR(T123="",$E123="",N($E123)&lt;=0),"",(T123-ABS(N($F123)))/$E123)</f>
        <v/>
      </c>
      <c r="AL123" s="26" t="str">
        <f aca="false">IF(OR(U123="",$E123="",N($E123)&lt;=0),"",(U123-ABS(N($F123)))/$E123)</f>
        <v/>
      </c>
      <c r="AM123" s="26" t="str">
        <f aca="false">IF(OR(V123="",$E123="",N($E123)&lt;=0),"",(V123-ABS(N($F123)))/$E123)</f>
        <v/>
      </c>
      <c r="AN123" s="26" t="n">
        <f aca="false">IF(OR(W123="",$E123="",N($E123)&lt;=0),"",(W123-ABS(N($F123)))/$E123)</f>
        <v>7.67785005135228</v>
      </c>
      <c r="AO123" s="26" t="str">
        <f aca="false">IF(OR(X123="",$E123="",N($E123)&lt;=0),"",(X123-ABS(N($F123)))/$E123)</f>
        <v/>
      </c>
      <c r="AP123" s="26" t="str">
        <f aca="false">IF(OR(Y123="",$E123="",N($E123)&lt;=0),"",(Y123-ABS(N($F123)))/$E123)</f>
        <v/>
      </c>
    </row>
    <row r="124" customFormat="false" ht="15" hidden="false" customHeight="true" outlineLevel="0" collapsed="false">
      <c r="A124" s="9" t="s">
        <v>276</v>
      </c>
      <c r="B124" s="11" t="s">
        <v>329</v>
      </c>
      <c r="C124" s="11" t="s">
        <v>336</v>
      </c>
      <c r="D124" s="21" t="n">
        <v>568.753</v>
      </c>
      <c r="E124" s="22" t="n">
        <v>3.182</v>
      </c>
      <c r="F124" s="22" t="n">
        <v>0.474</v>
      </c>
      <c r="G124" s="23" t="n">
        <v>945</v>
      </c>
      <c r="H124" s="11" t="s">
        <v>335</v>
      </c>
      <c r="I124" s="24" t="n">
        <f aca="false">MATCH(A124,'TEa input'!$A$6:$A$68,0)</f>
        <v>56</v>
      </c>
      <c r="J124" s="25" t="str">
        <f aca="false">IF(INDEX('TEa input'!$E$6:$E$68,$I124)="","",INDEX('TEa input'!$E$6:$E$68,$I124))</f>
        <v/>
      </c>
      <c r="K124" s="25" t="n">
        <f aca="false">IF(INDEX('TEa input'!$G$6:$G$68,$I124)="","",INDEX('TEa input'!$G$6:$G$68,$I124))</f>
        <v>20</v>
      </c>
      <c r="L124" s="25" t="n">
        <f aca="false">IF(INDEX('TEa input'!$I$6:$I$68,$I124)="","",INDEX('TEa input'!$I$6:$I$68,$I124))</f>
        <v>16</v>
      </c>
      <c r="M124" s="25" t="str">
        <f aca="false">IF(INDEX('TEa input'!$K$6:$K$68,$I124)="","",INDEX('TEa input'!$K$6:$K$68,$I124))</f>
        <v/>
      </c>
      <c r="N124" s="25" t="n">
        <f aca="false">IF(INDEX('TEa input'!$M$6:$M$68,$I124)="","",INDEX('TEa input'!$M$6:$M$68,$I124))</f>
        <v>15</v>
      </c>
      <c r="O124" s="25" t="n">
        <f aca="false">IF(INDEX('TEa input'!$O$6:$O$68,$I124)="","",INDEX('TEa input'!$O$6:$O$68,$I124))</f>
        <v>20</v>
      </c>
      <c r="P124" s="25" t="n">
        <f aca="false">IF(INDEX('TEa input'!$Q$6:$Q$68,$I124)="","",INDEX('TEa input'!$Q$6:$Q$68,$I124))</f>
        <v>16</v>
      </c>
      <c r="Q124" s="25" t="str">
        <f aca="false">IF(INDEX('TEa input'!$R$6:$R$68,$I124)="","",INDEX('TEa input'!$R$6:$R$68,$I124))</f>
        <v/>
      </c>
      <c r="R124" s="25" t="str">
        <f aca="false">IF(INDEX('TEa input'!$T$6:$T$68,$I124)="","",INDEX('TEa input'!$T$6:$T$68,$I124))</f>
        <v/>
      </c>
      <c r="S124" s="25" t="str">
        <f aca="false">IF(INDEX('TEa input'!$Y$6:$Y$68,$I124)="","",INDEX('TEa input'!$Y$6:$Y$68,$I124))</f>
        <v/>
      </c>
      <c r="T124" s="25" t="str">
        <f aca="false">IF(INDEX('TEa input'!$Z$6:$Z$68,$I124)="","",INDEX('TEa input'!$Z$6:$Z$68,$I124))</f>
        <v/>
      </c>
      <c r="U124" s="25" t="str">
        <f aca="false">IF(INDEX('TEa input'!$AA$6:$AA$68,$I124)="","",INDEX('TEa input'!$AA$6:$AA$68,$I124))</f>
        <v/>
      </c>
      <c r="V124" s="25" t="str">
        <f aca="false">IF(INDEX('TEa input'!$AB$6:$AB$68,$I124)="","",INDEX('TEa input'!$AB$6:$AB$68,$I124))</f>
        <v/>
      </c>
      <c r="W124" s="25" t="n">
        <f aca="false">IF(INDEX('TEa input'!$AC$6:$AC$68,$I124)="","",INDEX('TEa input'!$AC$6:$AC$68,$I124))</f>
        <v>22.8</v>
      </c>
      <c r="X124" s="25" t="str">
        <f aca="false">IF(INDEX('TEa input'!$AD$6:$AD$68,$I124)="","",INDEX('TEa input'!$AD$6:$AD$68,$I124))</f>
        <v/>
      </c>
      <c r="Y124" s="25" t="str">
        <f aca="false">IF(INDEX('TEa input'!$AF$6:$AF$68,$I124)="","",INDEX('TEa input'!$AF$6:$AF$68,$I124))</f>
        <v/>
      </c>
      <c r="AA124" s="26" t="str">
        <f aca="false">IF(OR(J124="",$E124="",N($E124)&lt;=0),"",(J124-ABS(N($F124)))/$E124)</f>
        <v/>
      </c>
      <c r="AB124" s="26" t="n">
        <f aca="false">IF(OR(K124="",$E124="",N($E124)&lt;=0),"",(K124-ABS(N($F124)))/$E124)</f>
        <v>6.13639220615965</v>
      </c>
      <c r="AC124" s="26" t="n">
        <f aca="false">IF(OR(L124="",$E124="",N($E124)&lt;=0),"",(L124-ABS(N($F124)))/$E124)</f>
        <v>4.87932118164676</v>
      </c>
      <c r="AD124" s="26" t="str">
        <f aca="false">IF(OR(M124="",$E124="",N($E124)&lt;=0),"",(M124-ABS(N($F124)))/$E124)</f>
        <v/>
      </c>
      <c r="AE124" s="26" t="n">
        <f aca="false">IF(OR(N124="",$E124="",N($E124)&lt;=0),"",(N124-ABS(N($F124)))/$E124)</f>
        <v>4.56505342551854</v>
      </c>
      <c r="AF124" s="26" t="n">
        <f aca="false">IF(OR(O124="",$E124="",N($E124)&lt;=0),"",(O124-ABS(N($F124)))/$E124)</f>
        <v>6.13639220615965</v>
      </c>
      <c r="AG124" s="26" t="n">
        <f aca="false">IF(OR(P124="",$E124="",N($E124)&lt;=0),"",(P124-ABS(N($F124)))/$E124)</f>
        <v>4.87932118164676</v>
      </c>
      <c r="AH124" s="26" t="str">
        <f aca="false">IF(OR(Q124="",$E124="",N($E124)&lt;=0),"",(Q124-ABS(N($F124)))/$E124)</f>
        <v/>
      </c>
      <c r="AI124" s="26" t="str">
        <f aca="false">IF(OR(R124="",$E124="",N($E124)&lt;=0),"",(R124-ABS(N($F124)))/$E124)</f>
        <v/>
      </c>
      <c r="AJ124" s="26" t="str">
        <f aca="false">IF(OR(S124="",$E124="",N($E124)&lt;=0),"",(S124-ABS(N($F124)))/$E124)</f>
        <v/>
      </c>
      <c r="AK124" s="26" t="str">
        <f aca="false">IF(OR(T124="",$E124="",N($E124)&lt;=0),"",(T124-ABS(N($F124)))/$E124)</f>
        <v/>
      </c>
      <c r="AL124" s="26" t="str">
        <f aca="false">IF(OR(U124="",$E124="",N($E124)&lt;=0),"",(U124-ABS(N($F124)))/$E124)</f>
        <v/>
      </c>
      <c r="AM124" s="26" t="str">
        <f aca="false">IF(OR(V124="",$E124="",N($E124)&lt;=0),"",(V124-ABS(N($F124)))/$E124)</f>
        <v/>
      </c>
      <c r="AN124" s="26" t="n">
        <f aca="false">IF(OR(W124="",$E124="",N($E124)&lt;=0),"",(W124-ABS(N($F124)))/$E124)</f>
        <v>7.01634192331867</v>
      </c>
      <c r="AO124" s="26" t="str">
        <f aca="false">IF(OR(X124="",$E124="",N($E124)&lt;=0),"",(X124-ABS(N($F124)))/$E124)</f>
        <v/>
      </c>
      <c r="AP124" s="26" t="str">
        <f aca="false">IF(OR(Y124="",$E124="",N($E124)&lt;=0),"",(Y124-ABS(N($F124)))/$E124)</f>
        <v/>
      </c>
    </row>
    <row r="125" customFormat="false" ht="15" hidden="false" customHeight="true" outlineLevel="0" collapsed="false">
      <c r="A125" s="9" t="s">
        <v>281</v>
      </c>
      <c r="B125" s="11" t="s">
        <v>326</v>
      </c>
      <c r="C125" s="11" t="s">
        <v>334</v>
      </c>
      <c r="D125" s="21" t="n">
        <v>3.7138</v>
      </c>
      <c r="E125" s="22" t="n">
        <v>4.286</v>
      </c>
      <c r="F125" s="22" t="n">
        <v>0.358</v>
      </c>
      <c r="G125" s="23" t="n">
        <v>960</v>
      </c>
      <c r="H125" s="11" t="s">
        <v>337</v>
      </c>
      <c r="I125" s="24" t="n">
        <f aca="false">MATCH(A125,'TEa input'!$A$6:$A$68,0)</f>
        <v>57</v>
      </c>
      <c r="J125" s="25" t="str">
        <f aca="false">IF(INDEX('TEa input'!$E$6:$E$68,$I125)="","",INDEX('TEa input'!$E$6:$E$68,$I125))</f>
        <v/>
      </c>
      <c r="K125" s="25" t="n">
        <f aca="false">IF(INDEX('TEa input'!$G$6:$G$68,$I125)="","",INDEX('TEa input'!$G$6:$G$68,$I125))</f>
        <v>18</v>
      </c>
      <c r="L125" s="25" t="n">
        <f aca="false">IF(INDEX('TEa input'!$I$6:$I$68,$I125)="","",INDEX('TEa input'!$I$6:$I$68,$I125))</f>
        <v>14</v>
      </c>
      <c r="M125" s="25" t="str">
        <f aca="false">IF(INDEX('TEa input'!$K$6:$K$68,$I125)="","",INDEX('TEa input'!$K$6:$K$68,$I125))</f>
        <v/>
      </c>
      <c r="N125" s="25" t="n">
        <f aca="false">IF(INDEX('TEa input'!$M$6:$M$68,$I125)="","",INDEX('TEa input'!$M$6:$M$68,$I125))</f>
        <v>10</v>
      </c>
      <c r="O125" s="25" t="str">
        <f aca="false">IF(INDEX('TEa input'!$O$6:$O$68,$I125)="","",INDEX('TEa input'!$O$6:$O$68,$I125))</f>
        <v/>
      </c>
      <c r="P125" s="25" t="str">
        <f aca="false">IF(INDEX('TEa input'!$Q$6:$Q$68,$I125)="","",INDEX('TEa input'!$Q$6:$Q$68,$I125))</f>
        <v/>
      </c>
      <c r="Q125" s="25" t="str">
        <f aca="false">IF(INDEX('TEa input'!$R$6:$R$68,$I125)="","",INDEX('TEa input'!$R$6:$R$68,$I125))</f>
        <v/>
      </c>
      <c r="R125" s="25" t="n">
        <f aca="false">IF(INDEX('TEa input'!$T$6:$T$68,$I125)="","",INDEX('TEa input'!$T$6:$T$68,$I125))</f>
        <v>30</v>
      </c>
      <c r="S125" s="25" t="str">
        <f aca="false">IF(INDEX('TEa input'!$Y$6:$Y$68,$I125)="","",INDEX('TEa input'!$Y$6:$Y$68,$I125))</f>
        <v/>
      </c>
      <c r="T125" s="25" t="str">
        <f aca="false">IF(INDEX('TEa input'!$Z$6:$Z$68,$I125)="","",INDEX('TEa input'!$Z$6:$Z$68,$I125))</f>
        <v/>
      </c>
      <c r="U125" s="25" t="str">
        <f aca="false">IF(INDEX('TEa input'!$AA$6:$AA$68,$I125)="","",INDEX('TEa input'!$AA$6:$AA$68,$I125))</f>
        <v/>
      </c>
      <c r="V125" s="25" t="str">
        <f aca="false">IF(INDEX('TEa input'!$AB$6:$AB$68,$I125)="","",INDEX('TEa input'!$AB$6:$AB$68,$I125))</f>
        <v/>
      </c>
      <c r="W125" s="25" t="str">
        <f aca="false">IF(INDEX('TEa input'!$AC$6:$AC$68,$I125)="","",INDEX('TEa input'!$AC$6:$AC$68,$I125))</f>
        <v/>
      </c>
      <c r="X125" s="25" t="str">
        <f aca="false">IF(INDEX('TEa input'!$AD$6:$AD$68,$I125)="","",INDEX('TEa input'!$AD$6:$AD$68,$I125))</f>
        <v/>
      </c>
      <c r="Y125" s="25" t="str">
        <f aca="false">IF(INDEX('TEa input'!$AF$6:$AF$68,$I125)="","",INDEX('TEa input'!$AF$6:$AF$68,$I125))</f>
        <v/>
      </c>
      <c r="AA125" s="26" t="str">
        <f aca="false">IF(OR(J125="",$E125="",N($E125)&lt;=0),"",(J125-ABS(N($F125)))/$E125)</f>
        <v/>
      </c>
      <c r="AB125" s="26" t="n">
        <f aca="false">IF(OR(K125="",$E125="",N($E125)&lt;=0),"",(K125-ABS(N($F125)))/$E125)</f>
        <v>4.11619225384974</v>
      </c>
      <c r="AC125" s="26" t="n">
        <f aca="false">IF(OR(L125="",$E125="",N($E125)&lt;=0),"",(L125-ABS(N($F125)))/$E125)</f>
        <v>3.18292113859076</v>
      </c>
      <c r="AD125" s="26" t="str">
        <f aca="false">IF(OR(M125="",$E125="",N($E125)&lt;=0),"",(M125-ABS(N($F125)))/$E125)</f>
        <v/>
      </c>
      <c r="AE125" s="26" t="n">
        <f aca="false">IF(OR(N125="",$E125="",N($E125)&lt;=0),"",(N125-ABS(N($F125)))/$E125)</f>
        <v>2.24965002333178</v>
      </c>
      <c r="AF125" s="26" t="str">
        <f aca="false">IF(OR(O125="",$E125="",N($E125)&lt;=0),"",(O125-ABS(N($F125)))/$E125)</f>
        <v/>
      </c>
      <c r="AG125" s="26" t="str">
        <f aca="false">IF(OR(P125="",$E125="",N($E125)&lt;=0),"",(P125-ABS(N($F125)))/$E125)</f>
        <v/>
      </c>
      <c r="AH125" s="26" t="str">
        <f aca="false">IF(OR(Q125="",$E125="",N($E125)&lt;=0),"",(Q125-ABS(N($F125)))/$E125)</f>
        <v/>
      </c>
      <c r="AI125" s="26" t="n">
        <f aca="false">IF(OR(R125="",$E125="",N($E125)&lt;=0),"",(R125-ABS(N($F125)))/$E125)</f>
        <v>6.91600559962669</v>
      </c>
      <c r="AJ125" s="26" t="str">
        <f aca="false">IF(OR(S125="",$E125="",N($E125)&lt;=0),"",(S125-ABS(N($F125)))/$E125)</f>
        <v/>
      </c>
      <c r="AK125" s="26" t="str">
        <f aca="false">IF(OR(T125="",$E125="",N($E125)&lt;=0),"",(T125-ABS(N($F125)))/$E125)</f>
        <v/>
      </c>
      <c r="AL125" s="26" t="str">
        <f aca="false">IF(OR(U125="",$E125="",N($E125)&lt;=0),"",(U125-ABS(N($F125)))/$E125)</f>
        <v/>
      </c>
      <c r="AM125" s="26" t="str">
        <f aca="false">IF(OR(V125="",$E125="",N($E125)&lt;=0),"",(V125-ABS(N($F125)))/$E125)</f>
        <v/>
      </c>
      <c r="AN125" s="26" t="str">
        <f aca="false">IF(OR(W125="",$E125="",N($E125)&lt;=0),"",(W125-ABS(N($F125)))/$E125)</f>
        <v/>
      </c>
      <c r="AO125" s="26" t="str">
        <f aca="false">IF(OR(X125="",$E125="",N($E125)&lt;=0),"",(X125-ABS(N($F125)))/$E125)</f>
        <v/>
      </c>
      <c r="AP125" s="26" t="str">
        <f aca="false">IF(OR(Y125="",$E125="",N($E125)&lt;=0),"",(Y125-ABS(N($F125)))/$E125)</f>
        <v/>
      </c>
    </row>
    <row r="126" customFormat="false" ht="15" hidden="false" customHeight="true" outlineLevel="0" collapsed="false">
      <c r="A126" s="9" t="s">
        <v>281</v>
      </c>
      <c r="B126" s="11" t="s">
        <v>329</v>
      </c>
      <c r="C126" s="11" t="s">
        <v>336</v>
      </c>
      <c r="D126" s="21" t="n">
        <v>389.108</v>
      </c>
      <c r="E126" s="22" t="n">
        <v>3.224</v>
      </c>
      <c r="F126" s="22" t="n">
        <v>2.026</v>
      </c>
      <c r="G126" s="23" t="n">
        <v>958</v>
      </c>
      <c r="H126" s="11" t="s">
        <v>337</v>
      </c>
      <c r="I126" s="24" t="n">
        <f aca="false">MATCH(A126,'TEa input'!$A$6:$A$68,0)</f>
        <v>57</v>
      </c>
      <c r="J126" s="25" t="str">
        <f aca="false">IF(INDEX('TEa input'!$E$6:$E$68,$I126)="","",INDEX('TEa input'!$E$6:$E$68,$I126))</f>
        <v/>
      </c>
      <c r="K126" s="25" t="n">
        <f aca="false">IF(INDEX('TEa input'!$G$6:$G$68,$I126)="","",INDEX('TEa input'!$G$6:$G$68,$I126))</f>
        <v>18</v>
      </c>
      <c r="L126" s="25" t="n">
        <f aca="false">IF(INDEX('TEa input'!$I$6:$I$68,$I126)="","",INDEX('TEa input'!$I$6:$I$68,$I126))</f>
        <v>14</v>
      </c>
      <c r="M126" s="25" t="str">
        <f aca="false">IF(INDEX('TEa input'!$K$6:$K$68,$I126)="","",INDEX('TEa input'!$K$6:$K$68,$I126))</f>
        <v/>
      </c>
      <c r="N126" s="25" t="n">
        <f aca="false">IF(INDEX('TEa input'!$M$6:$M$68,$I126)="","",INDEX('TEa input'!$M$6:$M$68,$I126))</f>
        <v>10</v>
      </c>
      <c r="O126" s="25" t="str">
        <f aca="false">IF(INDEX('TEa input'!$O$6:$O$68,$I126)="","",INDEX('TEa input'!$O$6:$O$68,$I126))</f>
        <v/>
      </c>
      <c r="P126" s="25" t="str">
        <f aca="false">IF(INDEX('TEa input'!$Q$6:$Q$68,$I126)="","",INDEX('TEa input'!$Q$6:$Q$68,$I126))</f>
        <v/>
      </c>
      <c r="Q126" s="25" t="str">
        <f aca="false">IF(INDEX('TEa input'!$R$6:$R$68,$I126)="","",INDEX('TEa input'!$R$6:$R$68,$I126))</f>
        <v/>
      </c>
      <c r="R126" s="25" t="n">
        <f aca="false">IF(INDEX('TEa input'!$T$6:$T$68,$I126)="","",INDEX('TEa input'!$T$6:$T$68,$I126))</f>
        <v>30</v>
      </c>
      <c r="S126" s="25" t="str">
        <f aca="false">IF(INDEX('TEa input'!$Y$6:$Y$68,$I126)="","",INDEX('TEa input'!$Y$6:$Y$68,$I126))</f>
        <v/>
      </c>
      <c r="T126" s="25" t="str">
        <f aca="false">IF(INDEX('TEa input'!$Z$6:$Z$68,$I126)="","",INDEX('TEa input'!$Z$6:$Z$68,$I126))</f>
        <v/>
      </c>
      <c r="U126" s="25" t="str">
        <f aca="false">IF(INDEX('TEa input'!$AA$6:$AA$68,$I126)="","",INDEX('TEa input'!$AA$6:$AA$68,$I126))</f>
        <v/>
      </c>
      <c r="V126" s="25" t="str">
        <f aca="false">IF(INDEX('TEa input'!$AB$6:$AB$68,$I126)="","",INDEX('TEa input'!$AB$6:$AB$68,$I126))</f>
        <v/>
      </c>
      <c r="W126" s="25" t="str">
        <f aca="false">IF(INDEX('TEa input'!$AC$6:$AC$68,$I126)="","",INDEX('TEa input'!$AC$6:$AC$68,$I126))</f>
        <v/>
      </c>
      <c r="X126" s="25" t="str">
        <f aca="false">IF(INDEX('TEa input'!$AD$6:$AD$68,$I126)="","",INDEX('TEa input'!$AD$6:$AD$68,$I126))</f>
        <v/>
      </c>
      <c r="Y126" s="25" t="str">
        <f aca="false">IF(INDEX('TEa input'!$AF$6:$AF$68,$I126)="","",INDEX('TEa input'!$AF$6:$AF$68,$I126))</f>
        <v/>
      </c>
      <c r="AA126" s="26" t="str">
        <f aca="false">IF(OR(J126="",$E126="",N($E126)&lt;=0),"",(J126-ABS(N($F126)))/$E126)</f>
        <v/>
      </c>
      <c r="AB126" s="26" t="n">
        <f aca="false">IF(OR(K126="",$E126="",N($E126)&lt;=0),"",(K126-ABS(N($F126)))/$E126)</f>
        <v>4.95471464019851</v>
      </c>
      <c r="AC126" s="26" t="n">
        <f aca="false">IF(OR(L126="",$E126="",N($E126)&lt;=0),"",(L126-ABS(N($F126)))/$E126)</f>
        <v>3.71401985111663</v>
      </c>
      <c r="AD126" s="26" t="str">
        <f aca="false">IF(OR(M126="",$E126="",N($E126)&lt;=0),"",(M126-ABS(N($F126)))/$E126)</f>
        <v/>
      </c>
      <c r="AE126" s="26" t="n">
        <f aca="false">IF(OR(N126="",$E126="",N($E126)&lt;=0),"",(N126-ABS(N($F126)))/$E126)</f>
        <v>2.47332506203474</v>
      </c>
      <c r="AF126" s="26" t="str">
        <f aca="false">IF(OR(O126="",$E126="",N($E126)&lt;=0),"",(O126-ABS(N($F126)))/$E126)</f>
        <v/>
      </c>
      <c r="AG126" s="26" t="str">
        <f aca="false">IF(OR(P126="",$E126="",N($E126)&lt;=0),"",(P126-ABS(N($F126)))/$E126)</f>
        <v/>
      </c>
      <c r="AH126" s="26" t="str">
        <f aca="false">IF(OR(Q126="",$E126="",N($E126)&lt;=0),"",(Q126-ABS(N($F126)))/$E126)</f>
        <v/>
      </c>
      <c r="AI126" s="26" t="n">
        <f aca="false">IF(OR(R126="",$E126="",N($E126)&lt;=0),"",(R126-ABS(N($F126)))/$E126)</f>
        <v>8.67679900744417</v>
      </c>
      <c r="AJ126" s="26" t="str">
        <f aca="false">IF(OR(S126="",$E126="",N($E126)&lt;=0),"",(S126-ABS(N($F126)))/$E126)</f>
        <v/>
      </c>
      <c r="AK126" s="26" t="str">
        <f aca="false">IF(OR(T126="",$E126="",N($E126)&lt;=0),"",(T126-ABS(N($F126)))/$E126)</f>
        <v/>
      </c>
      <c r="AL126" s="26" t="str">
        <f aca="false">IF(OR(U126="",$E126="",N($E126)&lt;=0),"",(U126-ABS(N($F126)))/$E126)</f>
        <v/>
      </c>
      <c r="AM126" s="26" t="str">
        <f aca="false">IF(OR(V126="",$E126="",N($E126)&lt;=0),"",(V126-ABS(N($F126)))/$E126)</f>
        <v/>
      </c>
      <c r="AN126" s="26" t="str">
        <f aca="false">IF(OR(W126="",$E126="",N($E126)&lt;=0),"",(W126-ABS(N($F126)))/$E126)</f>
        <v/>
      </c>
      <c r="AO126" s="26" t="str">
        <f aca="false">IF(OR(X126="",$E126="",N($E126)&lt;=0),"",(X126-ABS(N($F126)))/$E126)</f>
        <v/>
      </c>
      <c r="AP126" s="26" t="str">
        <f aca="false">IF(OR(Y126="",$E126="",N($E126)&lt;=0),"",(Y126-ABS(N($F126)))/$E126)</f>
        <v/>
      </c>
    </row>
    <row r="127" customFormat="false" ht="15" hidden="false" customHeight="true" outlineLevel="0" collapsed="false">
      <c r="A127" s="9" t="s">
        <v>287</v>
      </c>
      <c r="B127" s="11" t="s">
        <v>326</v>
      </c>
      <c r="C127" s="11" t="s">
        <v>334</v>
      </c>
      <c r="D127" s="21" t="n">
        <v>0.436729</v>
      </c>
      <c r="E127" s="22" t="n">
        <v>5.022</v>
      </c>
      <c r="F127" s="22" t="n">
        <v>0.601</v>
      </c>
      <c r="G127" s="23" t="n">
        <v>1168</v>
      </c>
      <c r="H127" s="11" t="s">
        <v>335</v>
      </c>
      <c r="I127" s="24" t="n">
        <f aca="false">MATCH(A127,'TEa input'!$A$6:$A$68,0)</f>
        <v>58</v>
      </c>
      <c r="J127" s="25" t="str">
        <f aca="false">IF(INDEX('TEa input'!$E$6:$E$68,$I127)="","",INDEX('TEa input'!$E$6:$E$68,$I127))</f>
        <v/>
      </c>
      <c r="K127" s="25" t="str">
        <f aca="false">IF(INDEX('TEa input'!$G$6:$G$68,$I127)="","",INDEX('TEa input'!$G$6:$G$68,$I127))</f>
        <v/>
      </c>
      <c r="L127" s="25" t="str">
        <f aca="false">IF(INDEX('TEa input'!$I$6:$I$68,$I127)="","",INDEX('TEa input'!$I$6:$I$68,$I127))</f>
        <v/>
      </c>
      <c r="M127" s="25" t="str">
        <f aca="false">IF(INDEX('TEa input'!$K$6:$K$68,$I127)="","",INDEX('TEa input'!$K$6:$K$68,$I127))</f>
        <v/>
      </c>
      <c r="N127" s="25" t="n">
        <f aca="false">IF(INDEX('TEa input'!$M$6:$M$68,$I127)="","",INDEX('TEa input'!$M$6:$M$68,$I127))</f>
        <v>12</v>
      </c>
      <c r="O127" s="25" t="n">
        <f aca="false">IF(INDEX('TEa input'!$O$6:$O$68,$I127)="","",INDEX('TEa input'!$O$6:$O$68,$I127))</f>
        <v>20</v>
      </c>
      <c r="P127" s="25" t="str">
        <f aca="false">IF(INDEX('TEa input'!$Q$6:$Q$68,$I127)="","",INDEX('TEa input'!$Q$6:$Q$68,$I127))</f>
        <v/>
      </c>
      <c r="Q127" s="25" t="str">
        <f aca="false">IF(INDEX('TEa input'!$R$6:$R$68,$I127)="","",INDEX('TEa input'!$R$6:$R$68,$I127))</f>
        <v/>
      </c>
      <c r="R127" s="25" t="str">
        <f aca="false">IF(INDEX('TEa input'!$T$6:$T$68,$I127)="","",INDEX('TEa input'!$T$6:$T$68,$I127))</f>
        <v/>
      </c>
      <c r="S127" s="25" t="str">
        <f aca="false">IF(INDEX('TEa input'!$Y$6:$Y$68,$I127)="","",INDEX('TEa input'!$Y$6:$Y$68,$I127))</f>
        <v/>
      </c>
      <c r="T127" s="25" t="str">
        <f aca="false">IF(INDEX('TEa input'!$Z$6:$Z$68,$I127)="","",INDEX('TEa input'!$Z$6:$Z$68,$I127))</f>
        <v/>
      </c>
      <c r="U127" s="25" t="str">
        <f aca="false">IF(INDEX('TEa input'!$AA$6:$AA$68,$I127)="","",INDEX('TEa input'!$AA$6:$AA$68,$I127))</f>
        <v/>
      </c>
      <c r="V127" s="25" t="str">
        <f aca="false">IF(INDEX('TEa input'!$AB$6:$AB$68,$I127)="","",INDEX('TEa input'!$AB$6:$AB$68,$I127))</f>
        <v/>
      </c>
      <c r="W127" s="25" t="str">
        <f aca="false">IF(INDEX('TEa input'!$AC$6:$AC$68,$I127)="","",INDEX('TEa input'!$AC$6:$AC$68,$I127))</f>
        <v/>
      </c>
      <c r="X127" s="25" t="str">
        <f aca="false">IF(INDEX('TEa input'!$AD$6:$AD$68,$I127)="","",INDEX('TEa input'!$AD$6:$AD$68,$I127))</f>
        <v/>
      </c>
      <c r="Y127" s="25" t="str">
        <f aca="false">IF(INDEX('TEa input'!$AF$6:$AF$68,$I127)="","",INDEX('TEa input'!$AF$6:$AF$68,$I127))</f>
        <v/>
      </c>
      <c r="AA127" s="26" t="str">
        <f aca="false">IF(OR(J127="",$E127="",N($E127)&lt;=0),"",(J127-ABS(N($F127)))/$E127)</f>
        <v/>
      </c>
      <c r="AB127" s="26" t="str">
        <f aca="false">IF(OR(K127="",$E127="",N($E127)&lt;=0),"",(K127-ABS(N($F127)))/$E127)</f>
        <v/>
      </c>
      <c r="AC127" s="26" t="str">
        <f aca="false">IF(OR(L127="",$E127="",N($E127)&lt;=0),"",(L127-ABS(N($F127)))/$E127)</f>
        <v/>
      </c>
      <c r="AD127" s="26" t="str">
        <f aca="false">IF(OR(M127="",$E127="",N($E127)&lt;=0),"",(M127-ABS(N($F127)))/$E127)</f>
        <v/>
      </c>
      <c r="AE127" s="26" t="n">
        <f aca="false">IF(OR(N127="",$E127="",N($E127)&lt;=0),"",(N127-ABS(N($F127)))/$E127)</f>
        <v>2.26981282357626</v>
      </c>
      <c r="AF127" s="26" t="n">
        <f aca="false">IF(OR(O127="",$E127="",N($E127)&lt;=0),"",(O127-ABS(N($F127)))/$E127)</f>
        <v>3.86280366387893</v>
      </c>
      <c r="AG127" s="26" t="str">
        <f aca="false">IF(OR(P127="",$E127="",N($E127)&lt;=0),"",(P127-ABS(N($F127)))/$E127)</f>
        <v/>
      </c>
      <c r="AH127" s="26" t="str">
        <f aca="false">IF(OR(Q127="",$E127="",N($E127)&lt;=0),"",(Q127-ABS(N($F127)))/$E127)</f>
        <v/>
      </c>
      <c r="AI127" s="26" t="str">
        <f aca="false">IF(OR(R127="",$E127="",N($E127)&lt;=0),"",(R127-ABS(N($F127)))/$E127)</f>
        <v/>
      </c>
      <c r="AJ127" s="26" t="str">
        <f aca="false">IF(OR(S127="",$E127="",N($E127)&lt;=0),"",(S127-ABS(N($F127)))/$E127)</f>
        <v/>
      </c>
      <c r="AK127" s="26" t="str">
        <f aca="false">IF(OR(T127="",$E127="",N($E127)&lt;=0),"",(T127-ABS(N($F127)))/$E127)</f>
        <v/>
      </c>
      <c r="AL127" s="26" t="str">
        <f aca="false">IF(OR(U127="",$E127="",N($E127)&lt;=0),"",(U127-ABS(N($F127)))/$E127)</f>
        <v/>
      </c>
      <c r="AM127" s="26" t="str">
        <f aca="false">IF(OR(V127="",$E127="",N($E127)&lt;=0),"",(V127-ABS(N($F127)))/$E127)</f>
        <v/>
      </c>
      <c r="AN127" s="26" t="str">
        <f aca="false">IF(OR(W127="",$E127="",N($E127)&lt;=0),"",(W127-ABS(N($F127)))/$E127)</f>
        <v/>
      </c>
      <c r="AO127" s="26" t="str">
        <f aca="false">IF(OR(X127="",$E127="",N($E127)&lt;=0),"",(X127-ABS(N($F127)))/$E127)</f>
        <v/>
      </c>
      <c r="AP127" s="26" t="str">
        <f aca="false">IF(OR(Y127="",$E127="",N($E127)&lt;=0),"",(Y127-ABS(N($F127)))/$E127)</f>
        <v/>
      </c>
    </row>
    <row r="128" customFormat="false" ht="15" hidden="false" customHeight="true" outlineLevel="0" collapsed="false">
      <c r="A128" s="9" t="s">
        <v>287</v>
      </c>
      <c r="B128" s="11" t="s">
        <v>329</v>
      </c>
      <c r="C128" s="11" t="s">
        <v>336</v>
      </c>
      <c r="D128" s="21" t="n">
        <v>0.695111</v>
      </c>
      <c r="E128" s="22" t="n">
        <v>2.448</v>
      </c>
      <c r="F128" s="22" t="n">
        <v>0.672</v>
      </c>
      <c r="G128" s="23" t="n">
        <v>368</v>
      </c>
      <c r="H128" s="11" t="s">
        <v>337</v>
      </c>
      <c r="I128" s="24" t="n">
        <f aca="false">MATCH(A128,'TEa input'!$A$6:$A$68,0)</f>
        <v>58</v>
      </c>
      <c r="J128" s="25" t="str">
        <f aca="false">IF(INDEX('TEa input'!$E$6:$E$68,$I128)="","",INDEX('TEa input'!$E$6:$E$68,$I128))</f>
        <v/>
      </c>
      <c r="K128" s="25" t="str">
        <f aca="false">IF(INDEX('TEa input'!$G$6:$G$68,$I128)="","",INDEX('TEa input'!$G$6:$G$68,$I128))</f>
        <v/>
      </c>
      <c r="L128" s="25" t="str">
        <f aca="false">IF(INDEX('TEa input'!$I$6:$I$68,$I128)="","",INDEX('TEa input'!$I$6:$I$68,$I128))</f>
        <v/>
      </c>
      <c r="M128" s="25" t="str">
        <f aca="false">IF(INDEX('TEa input'!$K$6:$K$68,$I128)="","",INDEX('TEa input'!$K$6:$K$68,$I128))</f>
        <v/>
      </c>
      <c r="N128" s="25" t="n">
        <f aca="false">IF(INDEX('TEa input'!$M$6:$M$68,$I128)="","",INDEX('TEa input'!$M$6:$M$68,$I128))</f>
        <v>12</v>
      </c>
      <c r="O128" s="25" t="n">
        <f aca="false">IF(INDEX('TEa input'!$O$6:$O$68,$I128)="","",INDEX('TEa input'!$O$6:$O$68,$I128))</f>
        <v>20</v>
      </c>
      <c r="P128" s="25" t="str">
        <f aca="false">IF(INDEX('TEa input'!$Q$6:$Q$68,$I128)="","",INDEX('TEa input'!$Q$6:$Q$68,$I128))</f>
        <v/>
      </c>
      <c r="Q128" s="25" t="str">
        <f aca="false">IF(INDEX('TEa input'!$R$6:$R$68,$I128)="","",INDEX('TEa input'!$R$6:$R$68,$I128))</f>
        <v/>
      </c>
      <c r="R128" s="25" t="str">
        <f aca="false">IF(INDEX('TEa input'!$T$6:$T$68,$I128)="","",INDEX('TEa input'!$T$6:$T$68,$I128))</f>
        <v/>
      </c>
      <c r="S128" s="25" t="str">
        <f aca="false">IF(INDEX('TEa input'!$Y$6:$Y$68,$I128)="","",INDEX('TEa input'!$Y$6:$Y$68,$I128))</f>
        <v/>
      </c>
      <c r="T128" s="25" t="str">
        <f aca="false">IF(INDEX('TEa input'!$Z$6:$Z$68,$I128)="","",INDEX('TEa input'!$Z$6:$Z$68,$I128))</f>
        <v/>
      </c>
      <c r="U128" s="25" t="str">
        <f aca="false">IF(INDEX('TEa input'!$AA$6:$AA$68,$I128)="","",INDEX('TEa input'!$AA$6:$AA$68,$I128))</f>
        <v/>
      </c>
      <c r="V128" s="25" t="str">
        <f aca="false">IF(INDEX('TEa input'!$AB$6:$AB$68,$I128)="","",INDEX('TEa input'!$AB$6:$AB$68,$I128))</f>
        <v/>
      </c>
      <c r="W128" s="25" t="str">
        <f aca="false">IF(INDEX('TEa input'!$AC$6:$AC$68,$I128)="","",INDEX('TEa input'!$AC$6:$AC$68,$I128))</f>
        <v/>
      </c>
      <c r="X128" s="25" t="str">
        <f aca="false">IF(INDEX('TEa input'!$AD$6:$AD$68,$I128)="","",INDEX('TEa input'!$AD$6:$AD$68,$I128))</f>
        <v/>
      </c>
      <c r="Y128" s="25" t="str">
        <f aca="false">IF(INDEX('TEa input'!$AF$6:$AF$68,$I128)="","",INDEX('TEa input'!$AF$6:$AF$68,$I128))</f>
        <v/>
      </c>
      <c r="AA128" s="26" t="str">
        <f aca="false">IF(OR(J128="",$E128="",N($E128)&lt;=0),"",(J128-ABS(N($F128)))/$E128)</f>
        <v/>
      </c>
      <c r="AB128" s="26" t="str">
        <f aca="false">IF(OR(K128="",$E128="",N($E128)&lt;=0),"",(K128-ABS(N($F128)))/$E128)</f>
        <v/>
      </c>
      <c r="AC128" s="26" t="str">
        <f aca="false">IF(OR(L128="",$E128="",N($E128)&lt;=0),"",(L128-ABS(N($F128)))/$E128)</f>
        <v/>
      </c>
      <c r="AD128" s="26" t="str">
        <f aca="false">IF(OR(M128="",$E128="",N($E128)&lt;=0),"",(M128-ABS(N($F128)))/$E128)</f>
        <v/>
      </c>
      <c r="AE128" s="26" t="n">
        <f aca="false">IF(OR(N128="",$E128="",N($E128)&lt;=0),"",(N128-ABS(N($F128)))/$E128)</f>
        <v>4.62745098039216</v>
      </c>
      <c r="AF128" s="26" t="n">
        <f aca="false">IF(OR(O128="",$E128="",N($E128)&lt;=0),"",(O128-ABS(N($F128)))/$E128)</f>
        <v>7.89542483660131</v>
      </c>
      <c r="AG128" s="26" t="str">
        <f aca="false">IF(OR(P128="",$E128="",N($E128)&lt;=0),"",(P128-ABS(N($F128)))/$E128)</f>
        <v/>
      </c>
      <c r="AH128" s="26" t="str">
        <f aca="false">IF(OR(Q128="",$E128="",N($E128)&lt;=0),"",(Q128-ABS(N($F128)))/$E128)</f>
        <v/>
      </c>
      <c r="AI128" s="26" t="str">
        <f aca="false">IF(OR(R128="",$E128="",N($E128)&lt;=0),"",(R128-ABS(N($F128)))/$E128)</f>
        <v/>
      </c>
      <c r="AJ128" s="26" t="str">
        <f aca="false">IF(OR(S128="",$E128="",N($E128)&lt;=0),"",(S128-ABS(N($F128)))/$E128)</f>
        <v/>
      </c>
      <c r="AK128" s="26" t="str">
        <f aca="false">IF(OR(T128="",$E128="",N($E128)&lt;=0),"",(T128-ABS(N($F128)))/$E128)</f>
        <v/>
      </c>
      <c r="AL128" s="26" t="str">
        <f aca="false">IF(OR(U128="",$E128="",N($E128)&lt;=0),"",(U128-ABS(N($F128)))/$E128)</f>
        <v/>
      </c>
      <c r="AM128" s="26" t="str">
        <f aca="false">IF(OR(V128="",$E128="",N($E128)&lt;=0),"",(V128-ABS(N($F128)))/$E128)</f>
        <v/>
      </c>
      <c r="AN128" s="26" t="str">
        <f aca="false">IF(OR(W128="",$E128="",N($E128)&lt;=0),"",(W128-ABS(N($F128)))/$E128)</f>
        <v/>
      </c>
      <c r="AO128" s="26" t="str">
        <f aca="false">IF(OR(X128="",$E128="",N($E128)&lt;=0),"",(X128-ABS(N($F128)))/$E128)</f>
        <v/>
      </c>
      <c r="AP128" s="26" t="str">
        <f aca="false">IF(OR(Y128="",$E128="",N($E128)&lt;=0),"",(Y128-ABS(N($F128)))/$E128)</f>
        <v/>
      </c>
    </row>
    <row r="129" customFormat="false" ht="15" hidden="false" customHeight="true" outlineLevel="0" collapsed="false">
      <c r="A129" s="9" t="s">
        <v>291</v>
      </c>
      <c r="B129" s="11" t="s">
        <v>326</v>
      </c>
      <c r="C129" s="11" t="s">
        <v>334</v>
      </c>
      <c r="D129" s="21" t="n">
        <v>3.14889</v>
      </c>
      <c r="E129" s="22" t="n">
        <v>4.847</v>
      </c>
      <c r="F129" s="22" t="n">
        <v>2.343</v>
      </c>
      <c r="G129" s="23" t="n">
        <v>944</v>
      </c>
      <c r="H129" s="11" t="s">
        <v>337</v>
      </c>
      <c r="I129" s="24" t="n">
        <f aca="false">MATCH(A129,'TEa input'!$A$6:$A$68,0)</f>
        <v>59</v>
      </c>
      <c r="J129" s="25" t="str">
        <f aca="false">IF(INDEX('TEa input'!$E$6:$E$68,$I129)="","",INDEX('TEa input'!$E$6:$E$68,$I129))</f>
        <v/>
      </c>
      <c r="K129" s="25" t="n">
        <f aca="false">IF(INDEX('TEa input'!$G$6:$G$68,$I129)="","",INDEX('TEa input'!$G$6:$G$68,$I129))</f>
        <v>15</v>
      </c>
      <c r="L129" s="25" t="n">
        <f aca="false">IF(INDEX('TEa input'!$I$6:$I$68,$I129)="","",INDEX('TEa input'!$I$6:$I$68,$I129))</f>
        <v>14</v>
      </c>
      <c r="M129" s="25" t="str">
        <f aca="false">IF(INDEX('TEa input'!$K$6:$K$68,$I129)="","",INDEX('TEa input'!$K$6:$K$68,$I129))</f>
        <v/>
      </c>
      <c r="N129" s="25" t="n">
        <f aca="false">IF(INDEX('TEa input'!$M$6:$M$68,$I129)="","",INDEX('TEa input'!$M$6:$M$68,$I129))</f>
        <v>12</v>
      </c>
      <c r="O129" s="25" t="n">
        <f aca="false">IF(INDEX('TEa input'!$O$6:$O$68,$I129)="","",INDEX('TEa input'!$O$6:$O$68,$I129))</f>
        <v>25</v>
      </c>
      <c r="P129" s="25" t="n">
        <f aca="false">IF(INDEX('TEa input'!$Q$6:$Q$68,$I129)="","",INDEX('TEa input'!$Q$6:$Q$68,$I129))</f>
        <v>16</v>
      </c>
      <c r="Q129" s="25" t="str">
        <f aca="false">IF(INDEX('TEa input'!$R$6:$R$68,$I129)="","",INDEX('TEa input'!$R$6:$R$68,$I129))</f>
        <v/>
      </c>
      <c r="R129" s="25" t="str">
        <f aca="false">IF(INDEX('TEa input'!$T$6:$T$68,$I129)="","",INDEX('TEa input'!$T$6:$T$68,$I129))</f>
        <v/>
      </c>
      <c r="S129" s="25" t="str">
        <f aca="false">IF(INDEX('TEa input'!$Y$6:$Y$68,$I129)="","",INDEX('TEa input'!$Y$6:$Y$68,$I129))</f>
        <v/>
      </c>
      <c r="T129" s="25" t="str">
        <f aca="false">IF(INDEX('TEa input'!$Z$6:$Z$68,$I129)="","",INDEX('TEa input'!$Z$6:$Z$68,$I129))</f>
        <v/>
      </c>
      <c r="U129" s="25" t="str">
        <f aca="false">IF(INDEX('TEa input'!$AA$6:$AA$68,$I129)="","",INDEX('TEa input'!$AA$6:$AA$68,$I129))</f>
        <v/>
      </c>
      <c r="V129" s="25" t="str">
        <f aca="false">IF(INDEX('TEa input'!$AB$6:$AB$68,$I129)="","",INDEX('TEa input'!$AB$6:$AB$68,$I129))</f>
        <v/>
      </c>
      <c r="W129" s="25" t="n">
        <f aca="false">IF(INDEX('TEa input'!$AC$6:$AC$68,$I129)="","",INDEX('TEa input'!$AC$6:$AC$68,$I129))</f>
        <v>24.7</v>
      </c>
      <c r="X129" s="25" t="str">
        <f aca="false">IF(INDEX('TEa input'!$AD$6:$AD$68,$I129)="","",INDEX('TEa input'!$AD$6:$AD$68,$I129))</f>
        <v/>
      </c>
      <c r="Y129" s="25" t="str">
        <f aca="false">IF(INDEX('TEa input'!$AF$6:$AF$68,$I129)="","",INDEX('TEa input'!$AF$6:$AF$68,$I129))</f>
        <v/>
      </c>
      <c r="AA129" s="26" t="str">
        <f aca="false">IF(OR(J129="",$E129="",N($E129)&lt;=0),"",(J129-ABS(N($F129)))/$E129)</f>
        <v/>
      </c>
      <c r="AB129" s="26" t="n">
        <f aca="false">IF(OR(K129="",$E129="",N($E129)&lt;=0),"",(K129-ABS(N($F129)))/$E129)</f>
        <v>2.611305962451</v>
      </c>
      <c r="AC129" s="26" t="n">
        <f aca="false">IF(OR(L129="",$E129="",N($E129)&lt;=0),"",(L129-ABS(N($F129)))/$E129)</f>
        <v>2.40499277903858</v>
      </c>
      <c r="AD129" s="26" t="str">
        <f aca="false">IF(OR(M129="",$E129="",N($E129)&lt;=0),"",(M129-ABS(N($F129)))/$E129)</f>
        <v/>
      </c>
      <c r="AE129" s="26" t="n">
        <f aca="false">IF(OR(N129="",$E129="",N($E129)&lt;=0),"",(N129-ABS(N($F129)))/$E129)</f>
        <v>1.99236641221374</v>
      </c>
      <c r="AF129" s="26" t="n">
        <f aca="false">IF(OR(O129="",$E129="",N($E129)&lt;=0),"",(O129-ABS(N($F129)))/$E129)</f>
        <v>4.6744377965752</v>
      </c>
      <c r="AG129" s="26" t="n">
        <f aca="false">IF(OR(P129="",$E129="",N($E129)&lt;=0),"",(P129-ABS(N($F129)))/$E129)</f>
        <v>2.81761914586342</v>
      </c>
      <c r="AH129" s="26" t="str">
        <f aca="false">IF(OR(Q129="",$E129="",N($E129)&lt;=0),"",(Q129-ABS(N($F129)))/$E129)</f>
        <v/>
      </c>
      <c r="AI129" s="26" t="str">
        <f aca="false">IF(OR(R129="",$E129="",N($E129)&lt;=0),"",(R129-ABS(N($F129)))/$E129)</f>
        <v/>
      </c>
      <c r="AJ129" s="26" t="str">
        <f aca="false">IF(OR(S129="",$E129="",N($E129)&lt;=0),"",(S129-ABS(N($F129)))/$E129)</f>
        <v/>
      </c>
      <c r="AK129" s="26" t="str">
        <f aca="false">IF(OR(T129="",$E129="",N($E129)&lt;=0),"",(T129-ABS(N($F129)))/$E129)</f>
        <v/>
      </c>
      <c r="AL129" s="26" t="str">
        <f aca="false">IF(OR(U129="",$E129="",N($E129)&lt;=0),"",(U129-ABS(N($F129)))/$E129)</f>
        <v/>
      </c>
      <c r="AM129" s="26" t="str">
        <f aca="false">IF(OR(V129="",$E129="",N($E129)&lt;=0),"",(V129-ABS(N($F129)))/$E129)</f>
        <v/>
      </c>
      <c r="AN129" s="26" t="n">
        <f aca="false">IF(OR(W129="",$E129="",N($E129)&lt;=0),"",(W129-ABS(N($F129)))/$E129)</f>
        <v>4.61254384155147</v>
      </c>
      <c r="AO129" s="26" t="str">
        <f aca="false">IF(OR(X129="",$E129="",N($E129)&lt;=0),"",(X129-ABS(N($F129)))/$E129)</f>
        <v/>
      </c>
      <c r="AP129" s="26" t="str">
        <f aca="false">IF(OR(Y129="",$E129="",N($E129)&lt;=0),"",(Y129-ABS(N($F129)))/$E129)</f>
        <v/>
      </c>
    </row>
    <row r="130" customFormat="false" ht="15" hidden="false" customHeight="true" outlineLevel="0" collapsed="false">
      <c r="A130" s="9" t="s">
        <v>291</v>
      </c>
      <c r="B130" s="11" t="s">
        <v>329</v>
      </c>
      <c r="C130" s="11" t="s">
        <v>336</v>
      </c>
      <c r="D130" s="21" t="n">
        <v>23.0944</v>
      </c>
      <c r="E130" s="22" t="n">
        <v>4.177</v>
      </c>
      <c r="F130" s="22" t="n">
        <v>0.677</v>
      </c>
      <c r="G130" s="23" t="n">
        <v>946</v>
      </c>
      <c r="H130" s="11" t="s">
        <v>337</v>
      </c>
      <c r="I130" s="24" t="n">
        <f aca="false">MATCH(A130,'TEa input'!$A$6:$A$68,0)</f>
        <v>59</v>
      </c>
      <c r="J130" s="25" t="str">
        <f aca="false">IF(INDEX('TEa input'!$E$6:$E$68,$I130)="","",INDEX('TEa input'!$E$6:$E$68,$I130))</f>
        <v/>
      </c>
      <c r="K130" s="25" t="n">
        <f aca="false">IF(INDEX('TEa input'!$G$6:$G$68,$I130)="","",INDEX('TEa input'!$G$6:$G$68,$I130))</f>
        <v>15</v>
      </c>
      <c r="L130" s="25" t="n">
        <f aca="false">IF(INDEX('TEa input'!$I$6:$I$68,$I130)="","",INDEX('TEa input'!$I$6:$I$68,$I130))</f>
        <v>14</v>
      </c>
      <c r="M130" s="25" t="str">
        <f aca="false">IF(INDEX('TEa input'!$K$6:$K$68,$I130)="","",INDEX('TEa input'!$K$6:$K$68,$I130))</f>
        <v/>
      </c>
      <c r="N130" s="25" t="n">
        <f aca="false">IF(INDEX('TEa input'!$M$6:$M$68,$I130)="","",INDEX('TEa input'!$M$6:$M$68,$I130))</f>
        <v>12</v>
      </c>
      <c r="O130" s="25" t="n">
        <f aca="false">IF(INDEX('TEa input'!$O$6:$O$68,$I130)="","",INDEX('TEa input'!$O$6:$O$68,$I130))</f>
        <v>25</v>
      </c>
      <c r="P130" s="25" t="n">
        <f aca="false">IF(INDEX('TEa input'!$Q$6:$Q$68,$I130)="","",INDEX('TEa input'!$Q$6:$Q$68,$I130))</f>
        <v>16</v>
      </c>
      <c r="Q130" s="25" t="str">
        <f aca="false">IF(INDEX('TEa input'!$R$6:$R$68,$I130)="","",INDEX('TEa input'!$R$6:$R$68,$I130))</f>
        <v/>
      </c>
      <c r="R130" s="25" t="str">
        <f aca="false">IF(INDEX('TEa input'!$T$6:$T$68,$I130)="","",INDEX('TEa input'!$T$6:$T$68,$I130))</f>
        <v/>
      </c>
      <c r="S130" s="25" t="str">
        <f aca="false">IF(INDEX('TEa input'!$Y$6:$Y$68,$I130)="","",INDEX('TEa input'!$Y$6:$Y$68,$I130))</f>
        <v/>
      </c>
      <c r="T130" s="25" t="str">
        <f aca="false">IF(INDEX('TEa input'!$Z$6:$Z$68,$I130)="","",INDEX('TEa input'!$Z$6:$Z$68,$I130))</f>
        <v/>
      </c>
      <c r="U130" s="25" t="str">
        <f aca="false">IF(INDEX('TEa input'!$AA$6:$AA$68,$I130)="","",INDEX('TEa input'!$AA$6:$AA$68,$I130))</f>
        <v/>
      </c>
      <c r="V130" s="25" t="str">
        <f aca="false">IF(INDEX('TEa input'!$AB$6:$AB$68,$I130)="","",INDEX('TEa input'!$AB$6:$AB$68,$I130))</f>
        <v/>
      </c>
      <c r="W130" s="25" t="n">
        <f aca="false">IF(INDEX('TEa input'!$AC$6:$AC$68,$I130)="","",INDEX('TEa input'!$AC$6:$AC$68,$I130))</f>
        <v>24.7</v>
      </c>
      <c r="X130" s="25" t="str">
        <f aca="false">IF(INDEX('TEa input'!$AD$6:$AD$68,$I130)="","",INDEX('TEa input'!$AD$6:$AD$68,$I130))</f>
        <v/>
      </c>
      <c r="Y130" s="25" t="str">
        <f aca="false">IF(INDEX('TEa input'!$AF$6:$AF$68,$I130)="","",INDEX('TEa input'!$AF$6:$AF$68,$I130))</f>
        <v/>
      </c>
      <c r="AA130" s="26" t="str">
        <f aca="false">IF(OR(J130="",$E130="",N($E130)&lt;=0),"",(J130-ABS(N($F130)))/$E130)</f>
        <v/>
      </c>
      <c r="AB130" s="26" t="n">
        <f aca="false">IF(OR(K130="",$E130="",N($E130)&lt;=0),"",(K130-ABS(N($F130)))/$E130)</f>
        <v>3.42901604022025</v>
      </c>
      <c r="AC130" s="26" t="n">
        <f aca="false">IF(OR(L130="",$E130="",N($E130)&lt;=0),"",(L130-ABS(N($F130)))/$E130)</f>
        <v>3.18960976777592</v>
      </c>
      <c r="AD130" s="26" t="str">
        <f aca="false">IF(OR(M130="",$E130="",N($E130)&lt;=0),"",(M130-ABS(N($F130)))/$E130)</f>
        <v/>
      </c>
      <c r="AE130" s="26" t="n">
        <f aca="false">IF(OR(N130="",$E130="",N($E130)&lt;=0),"",(N130-ABS(N($F130)))/$E130)</f>
        <v>2.71079722288724</v>
      </c>
      <c r="AF130" s="26" t="n">
        <f aca="false">IF(OR(O130="",$E130="",N($E130)&lt;=0),"",(O130-ABS(N($F130)))/$E130)</f>
        <v>5.82307876466364</v>
      </c>
      <c r="AG130" s="26" t="n">
        <f aca="false">IF(OR(P130="",$E130="",N($E130)&lt;=0),"",(P130-ABS(N($F130)))/$E130)</f>
        <v>3.66842231266459</v>
      </c>
      <c r="AH130" s="26" t="str">
        <f aca="false">IF(OR(Q130="",$E130="",N($E130)&lt;=0),"",(Q130-ABS(N($F130)))/$E130)</f>
        <v/>
      </c>
      <c r="AI130" s="26" t="str">
        <f aca="false">IF(OR(R130="",$E130="",N($E130)&lt;=0),"",(R130-ABS(N($F130)))/$E130)</f>
        <v/>
      </c>
      <c r="AJ130" s="26" t="str">
        <f aca="false">IF(OR(S130="",$E130="",N($E130)&lt;=0),"",(S130-ABS(N($F130)))/$E130)</f>
        <v/>
      </c>
      <c r="AK130" s="26" t="str">
        <f aca="false">IF(OR(T130="",$E130="",N($E130)&lt;=0),"",(T130-ABS(N($F130)))/$E130)</f>
        <v/>
      </c>
      <c r="AL130" s="26" t="str">
        <f aca="false">IF(OR(U130="",$E130="",N($E130)&lt;=0),"",(U130-ABS(N($F130)))/$E130)</f>
        <v/>
      </c>
      <c r="AM130" s="26" t="str">
        <f aca="false">IF(OR(V130="",$E130="",N($E130)&lt;=0),"",(V130-ABS(N($F130)))/$E130)</f>
        <v/>
      </c>
      <c r="AN130" s="26" t="n">
        <f aca="false">IF(OR(W130="",$E130="",N($E130)&lt;=0),"",(W130-ABS(N($F130)))/$E130)</f>
        <v>5.75125688293033</v>
      </c>
      <c r="AO130" s="26" t="str">
        <f aca="false">IF(OR(X130="",$E130="",N($E130)&lt;=0),"",(X130-ABS(N($F130)))/$E130)</f>
        <v/>
      </c>
      <c r="AP130" s="26" t="str">
        <f aca="false">IF(OR(Y130="",$E130="",N($E130)&lt;=0),"",(Y130-ABS(N($F130)))/$E130)</f>
        <v/>
      </c>
    </row>
    <row r="131" customFormat="false" ht="15" hidden="false" customHeight="true" outlineLevel="0" collapsed="false">
      <c r="A131" s="9" t="s">
        <v>296</v>
      </c>
      <c r="B131" s="11" t="s">
        <v>326</v>
      </c>
      <c r="C131" s="11" t="s">
        <v>334</v>
      </c>
      <c r="D131" s="21" t="n">
        <v>29.6606</v>
      </c>
      <c r="E131" s="22" t="n">
        <v>4.423</v>
      </c>
      <c r="F131" s="22" t="n">
        <v>0.757</v>
      </c>
      <c r="G131" s="23" t="n">
        <v>922</v>
      </c>
      <c r="H131" s="11" t="s">
        <v>337</v>
      </c>
      <c r="I131" s="24" t="n">
        <f aca="false">MATCH(A131,'TEa input'!$A$6:$A$68,0)</f>
        <v>60</v>
      </c>
      <c r="J131" s="25" t="str">
        <f aca="false">IF(INDEX('TEa input'!$E$6:$E$68,$I131)="","",INDEX('TEa input'!$E$6:$E$68,$I131))</f>
        <v/>
      </c>
      <c r="K131" s="25" t="n">
        <f aca="false">IF(INDEX('TEa input'!$G$6:$G$68,$I131)="","",INDEX('TEa input'!$G$6:$G$68,$I131))</f>
        <v>20</v>
      </c>
      <c r="L131" s="25" t="n">
        <f aca="false">IF(INDEX('TEa input'!$I$6:$I$68,$I131)="","",INDEX('TEa input'!$I$6:$I$68,$I131))</f>
        <v>16</v>
      </c>
      <c r="M131" s="25" t="str">
        <f aca="false">IF(INDEX('TEa input'!$K$6:$K$68,$I131)="","",INDEX('TEa input'!$K$6:$K$68,$I131))</f>
        <v/>
      </c>
      <c r="N131" s="25" t="n">
        <f aca="false">IF(INDEX('TEa input'!$M$6:$M$68,$I131)="","",INDEX('TEa input'!$M$6:$M$68,$I131))</f>
        <v>12</v>
      </c>
      <c r="O131" s="25" t="n">
        <f aca="false">IF(INDEX('TEa input'!$O$6:$O$68,$I131)="","",INDEX('TEa input'!$O$6:$O$68,$I131))</f>
        <v>25</v>
      </c>
      <c r="P131" s="25" t="str">
        <f aca="false">IF(INDEX('TEa input'!$Q$6:$Q$68,$I131)="","",INDEX('TEa input'!$Q$6:$Q$68,$I131))</f>
        <v/>
      </c>
      <c r="Q131" s="25" t="str">
        <f aca="false">IF(INDEX('TEa input'!$R$6:$R$68,$I131)="","",INDEX('TEa input'!$R$6:$R$68,$I131))</f>
        <v/>
      </c>
      <c r="R131" s="25" t="str">
        <f aca="false">IF(INDEX('TEa input'!$T$6:$T$68,$I131)="","",INDEX('TEa input'!$T$6:$T$68,$I131))</f>
        <v/>
      </c>
      <c r="S131" s="25" t="str">
        <f aca="false">IF(INDEX('TEa input'!$Y$6:$Y$68,$I131)="","",INDEX('TEa input'!$Y$6:$Y$68,$I131))</f>
        <v/>
      </c>
      <c r="T131" s="25" t="str">
        <f aca="false">IF(INDEX('TEa input'!$Z$6:$Z$68,$I131)="","",INDEX('TEa input'!$Z$6:$Z$68,$I131))</f>
        <v/>
      </c>
      <c r="U131" s="25" t="str">
        <f aca="false">IF(INDEX('TEa input'!$AA$6:$AA$68,$I131)="","",INDEX('TEa input'!$AA$6:$AA$68,$I131))</f>
        <v/>
      </c>
      <c r="V131" s="25" t="str">
        <f aca="false">IF(INDEX('TEa input'!$AB$6:$AB$68,$I131)="","",INDEX('TEa input'!$AB$6:$AB$68,$I131))</f>
        <v/>
      </c>
      <c r="W131" s="25" t="str">
        <f aca="false">IF(INDEX('TEa input'!$AC$6:$AC$68,$I131)="","",INDEX('TEa input'!$AC$6:$AC$68,$I131))</f>
        <v/>
      </c>
      <c r="X131" s="25" t="str">
        <f aca="false">IF(INDEX('TEa input'!$AD$6:$AD$68,$I131)="","",INDEX('TEa input'!$AD$6:$AD$68,$I131))</f>
        <v/>
      </c>
      <c r="Y131" s="25" t="str">
        <f aca="false">IF(INDEX('TEa input'!$AF$6:$AF$68,$I131)="","",INDEX('TEa input'!$AF$6:$AF$68,$I131))</f>
        <v/>
      </c>
      <c r="AA131" s="26" t="str">
        <f aca="false">IF(OR(J131="",$E131="",N($E131)&lt;=0),"",(J131-ABS(N($F131)))/$E131)</f>
        <v/>
      </c>
      <c r="AB131" s="26" t="n">
        <f aca="false">IF(OR(K131="",$E131="",N($E131)&lt;=0),"",(K131-ABS(N($F131)))/$E131)</f>
        <v>4.35066696812118</v>
      </c>
      <c r="AC131" s="26" t="n">
        <f aca="false">IF(OR(L131="",$E131="",N($E131)&lt;=0),"",(L131-ABS(N($F131)))/$E131)</f>
        <v>3.44630341397242</v>
      </c>
      <c r="AD131" s="26" t="str">
        <f aca="false">IF(OR(M131="",$E131="",N($E131)&lt;=0),"",(M131-ABS(N($F131)))/$E131)</f>
        <v/>
      </c>
      <c r="AE131" s="26" t="n">
        <f aca="false">IF(OR(N131="",$E131="",N($E131)&lt;=0),"",(N131-ABS(N($F131)))/$E131)</f>
        <v>2.54193985982365</v>
      </c>
      <c r="AF131" s="26" t="n">
        <f aca="false">IF(OR(O131="",$E131="",N($E131)&lt;=0),"",(O131-ABS(N($F131)))/$E131)</f>
        <v>5.48112141080714</v>
      </c>
      <c r="AG131" s="26" t="str">
        <f aca="false">IF(OR(P131="",$E131="",N($E131)&lt;=0),"",(P131-ABS(N($F131)))/$E131)</f>
        <v/>
      </c>
      <c r="AH131" s="26" t="str">
        <f aca="false">IF(OR(Q131="",$E131="",N($E131)&lt;=0),"",(Q131-ABS(N($F131)))/$E131)</f>
        <v/>
      </c>
      <c r="AI131" s="26" t="str">
        <f aca="false">IF(OR(R131="",$E131="",N($E131)&lt;=0),"",(R131-ABS(N($F131)))/$E131)</f>
        <v/>
      </c>
      <c r="AJ131" s="26" t="str">
        <f aca="false">IF(OR(S131="",$E131="",N($E131)&lt;=0),"",(S131-ABS(N($F131)))/$E131)</f>
        <v/>
      </c>
      <c r="AK131" s="26" t="str">
        <f aca="false">IF(OR(T131="",$E131="",N($E131)&lt;=0),"",(T131-ABS(N($F131)))/$E131)</f>
        <v/>
      </c>
      <c r="AL131" s="26" t="str">
        <f aca="false">IF(OR(U131="",$E131="",N($E131)&lt;=0),"",(U131-ABS(N($F131)))/$E131)</f>
        <v/>
      </c>
      <c r="AM131" s="26" t="str">
        <f aca="false">IF(OR(V131="",$E131="",N($E131)&lt;=0),"",(V131-ABS(N($F131)))/$E131)</f>
        <v/>
      </c>
      <c r="AN131" s="26" t="str">
        <f aca="false">IF(OR(W131="",$E131="",N($E131)&lt;=0),"",(W131-ABS(N($F131)))/$E131)</f>
        <v/>
      </c>
      <c r="AO131" s="26" t="str">
        <f aca="false">IF(OR(X131="",$E131="",N($E131)&lt;=0),"",(X131-ABS(N($F131)))/$E131)</f>
        <v/>
      </c>
      <c r="AP131" s="26" t="str">
        <f aca="false">IF(OR(Y131="",$E131="",N($E131)&lt;=0),"",(Y131-ABS(N($F131)))/$E131)</f>
        <v/>
      </c>
    </row>
    <row r="132" customFormat="false" ht="15" hidden="false" customHeight="true" outlineLevel="0" collapsed="false">
      <c r="A132" s="9" t="s">
        <v>296</v>
      </c>
      <c r="B132" s="11" t="s">
        <v>329</v>
      </c>
      <c r="C132" s="11" t="s">
        <v>336</v>
      </c>
      <c r="D132" s="21" t="n">
        <v>46.2921</v>
      </c>
      <c r="E132" s="22" t="n">
        <v>4.296</v>
      </c>
      <c r="F132" s="22" t="n">
        <v>0.812</v>
      </c>
      <c r="G132" s="23" t="n">
        <v>927</v>
      </c>
      <c r="H132" s="11" t="s">
        <v>337</v>
      </c>
      <c r="I132" s="24" t="n">
        <f aca="false">MATCH(A132,'TEa input'!$A$6:$A$68,0)</f>
        <v>60</v>
      </c>
      <c r="J132" s="25" t="str">
        <f aca="false">IF(INDEX('TEa input'!$E$6:$E$68,$I132)="","",INDEX('TEa input'!$E$6:$E$68,$I132))</f>
        <v/>
      </c>
      <c r="K132" s="25" t="n">
        <f aca="false">IF(INDEX('TEa input'!$G$6:$G$68,$I132)="","",INDEX('TEa input'!$G$6:$G$68,$I132))</f>
        <v>20</v>
      </c>
      <c r="L132" s="25" t="n">
        <f aca="false">IF(INDEX('TEa input'!$I$6:$I$68,$I132)="","",INDEX('TEa input'!$I$6:$I$68,$I132))</f>
        <v>16</v>
      </c>
      <c r="M132" s="25" t="str">
        <f aca="false">IF(INDEX('TEa input'!$K$6:$K$68,$I132)="","",INDEX('TEa input'!$K$6:$K$68,$I132))</f>
        <v/>
      </c>
      <c r="N132" s="25" t="n">
        <f aca="false">IF(INDEX('TEa input'!$M$6:$M$68,$I132)="","",INDEX('TEa input'!$M$6:$M$68,$I132))</f>
        <v>12</v>
      </c>
      <c r="O132" s="25" t="n">
        <f aca="false">IF(INDEX('TEa input'!$O$6:$O$68,$I132)="","",INDEX('TEa input'!$O$6:$O$68,$I132))</f>
        <v>25</v>
      </c>
      <c r="P132" s="25" t="str">
        <f aca="false">IF(INDEX('TEa input'!$Q$6:$Q$68,$I132)="","",INDEX('TEa input'!$Q$6:$Q$68,$I132))</f>
        <v/>
      </c>
      <c r="Q132" s="25" t="str">
        <f aca="false">IF(INDEX('TEa input'!$R$6:$R$68,$I132)="","",INDEX('TEa input'!$R$6:$R$68,$I132))</f>
        <v/>
      </c>
      <c r="R132" s="25" t="str">
        <f aca="false">IF(INDEX('TEa input'!$T$6:$T$68,$I132)="","",INDEX('TEa input'!$T$6:$T$68,$I132))</f>
        <v/>
      </c>
      <c r="S132" s="25" t="str">
        <f aca="false">IF(INDEX('TEa input'!$Y$6:$Y$68,$I132)="","",INDEX('TEa input'!$Y$6:$Y$68,$I132))</f>
        <v/>
      </c>
      <c r="T132" s="25" t="str">
        <f aca="false">IF(INDEX('TEa input'!$Z$6:$Z$68,$I132)="","",INDEX('TEa input'!$Z$6:$Z$68,$I132))</f>
        <v/>
      </c>
      <c r="U132" s="25" t="str">
        <f aca="false">IF(INDEX('TEa input'!$AA$6:$AA$68,$I132)="","",INDEX('TEa input'!$AA$6:$AA$68,$I132))</f>
        <v/>
      </c>
      <c r="V132" s="25" t="str">
        <f aca="false">IF(INDEX('TEa input'!$AB$6:$AB$68,$I132)="","",INDEX('TEa input'!$AB$6:$AB$68,$I132))</f>
        <v/>
      </c>
      <c r="W132" s="25" t="str">
        <f aca="false">IF(INDEX('TEa input'!$AC$6:$AC$68,$I132)="","",INDEX('TEa input'!$AC$6:$AC$68,$I132))</f>
        <v/>
      </c>
      <c r="X132" s="25" t="str">
        <f aca="false">IF(INDEX('TEa input'!$AD$6:$AD$68,$I132)="","",INDEX('TEa input'!$AD$6:$AD$68,$I132))</f>
        <v/>
      </c>
      <c r="Y132" s="25" t="str">
        <f aca="false">IF(INDEX('TEa input'!$AF$6:$AF$68,$I132)="","",INDEX('TEa input'!$AF$6:$AF$68,$I132))</f>
        <v/>
      </c>
      <c r="AA132" s="26" t="str">
        <f aca="false">IF(OR(J132="",$E132="",N($E132)&lt;=0),"",(J132-ABS(N($F132)))/$E132)</f>
        <v/>
      </c>
      <c r="AB132" s="26" t="n">
        <f aca="false">IF(OR(K132="",$E132="",N($E132)&lt;=0),"",(K132-ABS(N($F132)))/$E132)</f>
        <v>4.46648044692737</v>
      </c>
      <c r="AC132" s="26" t="n">
        <f aca="false">IF(OR(L132="",$E132="",N($E132)&lt;=0),"",(L132-ABS(N($F132)))/$E132)</f>
        <v>3.53538175046555</v>
      </c>
      <c r="AD132" s="26" t="str">
        <f aca="false">IF(OR(M132="",$E132="",N($E132)&lt;=0),"",(M132-ABS(N($F132)))/$E132)</f>
        <v/>
      </c>
      <c r="AE132" s="26" t="n">
        <f aca="false">IF(OR(N132="",$E132="",N($E132)&lt;=0),"",(N132-ABS(N($F132)))/$E132)</f>
        <v>2.60428305400372</v>
      </c>
      <c r="AF132" s="26" t="n">
        <f aca="false">IF(OR(O132="",$E132="",N($E132)&lt;=0),"",(O132-ABS(N($F132)))/$E132)</f>
        <v>5.63035381750466</v>
      </c>
      <c r="AG132" s="26" t="str">
        <f aca="false">IF(OR(P132="",$E132="",N($E132)&lt;=0),"",(P132-ABS(N($F132)))/$E132)</f>
        <v/>
      </c>
      <c r="AH132" s="26" t="str">
        <f aca="false">IF(OR(Q132="",$E132="",N($E132)&lt;=0),"",(Q132-ABS(N($F132)))/$E132)</f>
        <v/>
      </c>
      <c r="AI132" s="26" t="str">
        <f aca="false">IF(OR(R132="",$E132="",N($E132)&lt;=0),"",(R132-ABS(N($F132)))/$E132)</f>
        <v/>
      </c>
      <c r="AJ132" s="26" t="str">
        <f aca="false">IF(OR(S132="",$E132="",N($E132)&lt;=0),"",(S132-ABS(N($F132)))/$E132)</f>
        <v/>
      </c>
      <c r="AK132" s="26" t="str">
        <f aca="false">IF(OR(T132="",$E132="",N($E132)&lt;=0),"",(T132-ABS(N($F132)))/$E132)</f>
        <v/>
      </c>
      <c r="AL132" s="26" t="str">
        <f aca="false">IF(OR(U132="",$E132="",N($E132)&lt;=0),"",(U132-ABS(N($F132)))/$E132)</f>
        <v/>
      </c>
      <c r="AM132" s="26" t="str">
        <f aca="false">IF(OR(V132="",$E132="",N($E132)&lt;=0),"",(V132-ABS(N($F132)))/$E132)</f>
        <v/>
      </c>
      <c r="AN132" s="26" t="str">
        <f aca="false">IF(OR(W132="",$E132="",N($E132)&lt;=0),"",(W132-ABS(N($F132)))/$E132)</f>
        <v/>
      </c>
      <c r="AO132" s="26" t="str">
        <f aca="false">IF(OR(X132="",$E132="",N($E132)&lt;=0),"",(X132-ABS(N($F132)))/$E132)</f>
        <v/>
      </c>
      <c r="AP132" s="26" t="str">
        <f aca="false">IF(OR(Y132="",$E132="",N($E132)&lt;=0),"",(Y132-ABS(N($F132)))/$E132)</f>
        <v/>
      </c>
    </row>
    <row r="133" customFormat="false" ht="15" hidden="false" customHeight="true" outlineLevel="0" collapsed="false">
      <c r="A133" s="9" t="s">
        <v>301</v>
      </c>
      <c r="B133" s="11" t="s">
        <v>326</v>
      </c>
      <c r="C133" s="11" t="s">
        <v>334</v>
      </c>
      <c r="D133" s="21" t="n">
        <v>12.6797</v>
      </c>
      <c r="E133" s="22" t="n">
        <v>13.319</v>
      </c>
      <c r="F133" s="22" t="n">
        <v>1.624</v>
      </c>
      <c r="G133" s="23" t="n">
        <v>996</v>
      </c>
      <c r="H133" s="11" t="s">
        <v>335</v>
      </c>
      <c r="I133" s="24" t="n">
        <f aca="false">MATCH(A133,'TEa input'!$A$6:$A$68,0)</f>
        <v>61</v>
      </c>
      <c r="J133" s="25" t="str">
        <f aca="false">IF(INDEX('TEa input'!$E$6:$E$68,$I133)="","",INDEX('TEa input'!$E$6:$E$68,$I133))</f>
        <v/>
      </c>
      <c r="K133" s="25" t="str">
        <f aca="false">IF(INDEX('TEa input'!$G$6:$G$68,$I133)="","",INDEX('TEa input'!$G$6:$G$68,$I133))</f>
        <v/>
      </c>
      <c r="L133" s="25" t="str">
        <f aca="false">IF(INDEX('TEa input'!$I$6:$I$68,$I133)="","",INDEX('TEa input'!$I$6:$I$68,$I133))</f>
        <v/>
      </c>
      <c r="M133" s="25" t="str">
        <f aca="false">IF(INDEX('TEa input'!$K$6:$K$68,$I133)="","",INDEX('TEa input'!$K$6:$K$68,$I133))</f>
        <v/>
      </c>
      <c r="N133" s="25" t="str">
        <f aca="false">IF(INDEX('TEa input'!$M$6:$M$68,$I133)="","",INDEX('TEa input'!$M$6:$M$68,$I133))</f>
        <v/>
      </c>
      <c r="O133" s="25" t="str">
        <f aca="false">IF(INDEX('TEa input'!$O$6:$O$68,$I133)="","",INDEX('TEa input'!$O$6:$O$68,$I133))</f>
        <v/>
      </c>
      <c r="P133" s="25" t="str">
        <f aca="false">IF(INDEX('TEa input'!$Q$6:$Q$68,$I133)="","",INDEX('TEa input'!$Q$6:$Q$68,$I133))</f>
        <v/>
      </c>
      <c r="Q133" s="25" t="str">
        <f aca="false">IF(INDEX('TEa input'!$R$6:$R$68,$I133)="","",INDEX('TEa input'!$R$6:$R$68,$I133))</f>
        <v/>
      </c>
      <c r="R133" s="25" t="str">
        <f aca="false">IF(INDEX('TEa input'!$T$6:$T$68,$I133)="","",INDEX('TEa input'!$T$6:$T$68,$I133))</f>
        <v/>
      </c>
      <c r="S133" s="25" t="str">
        <f aca="false">IF(INDEX('TEa input'!$Y$6:$Y$68,$I133)="","",INDEX('TEa input'!$Y$6:$Y$68,$I133))</f>
        <v/>
      </c>
      <c r="T133" s="25" t="str">
        <f aca="false">IF(INDEX('TEa input'!$Z$6:$Z$68,$I133)="","",INDEX('TEa input'!$Z$6:$Z$68,$I133))</f>
        <v/>
      </c>
      <c r="U133" s="25" t="str">
        <f aca="false">IF(INDEX('TEa input'!$AA$6:$AA$68,$I133)="","",INDEX('TEa input'!$AA$6:$AA$68,$I133))</f>
        <v/>
      </c>
      <c r="V133" s="25" t="str">
        <f aca="false">IF(INDEX('TEa input'!$AB$6:$AB$68,$I133)="","",INDEX('TEa input'!$AB$6:$AB$68,$I133))</f>
        <v/>
      </c>
      <c r="W133" s="25" t="str">
        <f aca="false">IF(INDEX('TEa input'!$AC$6:$AC$68,$I133)="","",INDEX('TEa input'!$AC$6:$AC$68,$I133))</f>
        <v/>
      </c>
      <c r="X133" s="25" t="str">
        <f aca="false">IF(INDEX('TEa input'!$AD$6:$AD$68,$I133)="","",INDEX('TEa input'!$AD$6:$AD$68,$I133))</f>
        <v/>
      </c>
      <c r="Y133" s="25" t="str">
        <f aca="false">IF(INDEX('TEa input'!$AF$6:$AF$68,$I133)="","",INDEX('TEa input'!$AF$6:$AF$68,$I133))</f>
        <v/>
      </c>
      <c r="AA133" s="26" t="str">
        <f aca="false">IF(OR(J133="",$E133="",N($E133)&lt;=0),"",(J133-ABS(N($F133)))/$E133)</f>
        <v/>
      </c>
      <c r="AB133" s="26" t="str">
        <f aca="false">IF(OR(K133="",$E133="",N($E133)&lt;=0),"",(K133-ABS(N($F133)))/$E133)</f>
        <v/>
      </c>
      <c r="AC133" s="26" t="str">
        <f aca="false">IF(OR(L133="",$E133="",N($E133)&lt;=0),"",(L133-ABS(N($F133)))/$E133)</f>
        <v/>
      </c>
      <c r="AD133" s="26" t="str">
        <f aca="false">IF(OR(M133="",$E133="",N($E133)&lt;=0),"",(M133-ABS(N($F133)))/$E133)</f>
        <v/>
      </c>
      <c r="AE133" s="26" t="str">
        <f aca="false">IF(OR(N133="",$E133="",N($E133)&lt;=0),"",(N133-ABS(N($F133)))/$E133)</f>
        <v/>
      </c>
      <c r="AF133" s="26" t="str">
        <f aca="false">IF(OR(O133="",$E133="",N($E133)&lt;=0),"",(O133-ABS(N($F133)))/$E133)</f>
        <v/>
      </c>
      <c r="AG133" s="26" t="str">
        <f aca="false">IF(OR(P133="",$E133="",N($E133)&lt;=0),"",(P133-ABS(N($F133)))/$E133)</f>
        <v/>
      </c>
      <c r="AH133" s="26" t="str">
        <f aca="false">IF(OR(Q133="",$E133="",N($E133)&lt;=0),"",(Q133-ABS(N($F133)))/$E133)</f>
        <v/>
      </c>
      <c r="AI133" s="26" t="str">
        <f aca="false">IF(OR(R133="",$E133="",N($E133)&lt;=0),"",(R133-ABS(N($F133)))/$E133)</f>
        <v/>
      </c>
      <c r="AJ133" s="26" t="str">
        <f aca="false">IF(OR(S133="",$E133="",N($E133)&lt;=0),"",(S133-ABS(N($F133)))/$E133)</f>
        <v/>
      </c>
      <c r="AK133" s="26" t="str">
        <f aca="false">IF(OR(T133="",$E133="",N($E133)&lt;=0),"",(T133-ABS(N($F133)))/$E133)</f>
        <v/>
      </c>
      <c r="AL133" s="26" t="str">
        <f aca="false">IF(OR(U133="",$E133="",N($E133)&lt;=0),"",(U133-ABS(N($F133)))/$E133)</f>
        <v/>
      </c>
      <c r="AM133" s="26" t="str">
        <f aca="false">IF(OR(V133="",$E133="",N($E133)&lt;=0),"",(V133-ABS(N($F133)))/$E133)</f>
        <v/>
      </c>
      <c r="AN133" s="26" t="str">
        <f aca="false">IF(OR(W133="",$E133="",N($E133)&lt;=0),"",(W133-ABS(N($F133)))/$E133)</f>
        <v/>
      </c>
      <c r="AO133" s="26" t="str">
        <f aca="false">IF(OR(X133="",$E133="",N($E133)&lt;=0),"",(X133-ABS(N($F133)))/$E133)</f>
        <v/>
      </c>
      <c r="AP133" s="26" t="str">
        <f aca="false">IF(OR(Y133="",$E133="",N($E133)&lt;=0),"",(Y133-ABS(N($F133)))/$E133)</f>
        <v/>
      </c>
    </row>
    <row r="134" customFormat="false" ht="15" hidden="false" customHeight="true" outlineLevel="0" collapsed="false">
      <c r="A134" s="9" t="s">
        <v>301</v>
      </c>
      <c r="B134" s="11" t="s">
        <v>329</v>
      </c>
      <c r="C134" s="11" t="s">
        <v>336</v>
      </c>
      <c r="D134" s="21" t="n">
        <v>26.1563</v>
      </c>
      <c r="E134" s="22" t="n">
        <v>9.453</v>
      </c>
      <c r="F134" s="22" t="n">
        <v>0.475</v>
      </c>
      <c r="G134" s="23" t="n">
        <v>988</v>
      </c>
      <c r="H134" s="11" t="s">
        <v>337</v>
      </c>
      <c r="I134" s="24" t="n">
        <f aca="false">MATCH(A134,'TEa input'!$A$6:$A$68,0)</f>
        <v>61</v>
      </c>
      <c r="J134" s="25" t="str">
        <f aca="false">IF(INDEX('TEa input'!$E$6:$E$68,$I134)="","",INDEX('TEa input'!$E$6:$E$68,$I134))</f>
        <v/>
      </c>
      <c r="K134" s="25" t="str">
        <f aca="false">IF(INDEX('TEa input'!$G$6:$G$68,$I134)="","",INDEX('TEa input'!$G$6:$G$68,$I134))</f>
        <v/>
      </c>
      <c r="L134" s="25" t="str">
        <f aca="false">IF(INDEX('TEa input'!$I$6:$I$68,$I134)="","",INDEX('TEa input'!$I$6:$I$68,$I134))</f>
        <v/>
      </c>
      <c r="M134" s="25" t="str">
        <f aca="false">IF(INDEX('TEa input'!$K$6:$K$68,$I134)="","",INDEX('TEa input'!$K$6:$K$68,$I134))</f>
        <v/>
      </c>
      <c r="N134" s="25" t="str">
        <f aca="false">IF(INDEX('TEa input'!$M$6:$M$68,$I134)="","",INDEX('TEa input'!$M$6:$M$68,$I134))</f>
        <v/>
      </c>
      <c r="O134" s="25" t="str">
        <f aca="false">IF(INDEX('TEa input'!$O$6:$O$68,$I134)="","",INDEX('TEa input'!$O$6:$O$68,$I134))</f>
        <v/>
      </c>
      <c r="P134" s="25" t="str">
        <f aca="false">IF(INDEX('TEa input'!$Q$6:$Q$68,$I134)="","",INDEX('TEa input'!$Q$6:$Q$68,$I134))</f>
        <v/>
      </c>
      <c r="Q134" s="25" t="str">
        <f aca="false">IF(INDEX('TEa input'!$R$6:$R$68,$I134)="","",INDEX('TEa input'!$R$6:$R$68,$I134))</f>
        <v/>
      </c>
      <c r="R134" s="25" t="str">
        <f aca="false">IF(INDEX('TEa input'!$T$6:$T$68,$I134)="","",INDEX('TEa input'!$T$6:$T$68,$I134))</f>
        <v/>
      </c>
      <c r="S134" s="25" t="str">
        <f aca="false">IF(INDEX('TEa input'!$Y$6:$Y$68,$I134)="","",INDEX('TEa input'!$Y$6:$Y$68,$I134))</f>
        <v/>
      </c>
      <c r="T134" s="25" t="str">
        <f aca="false">IF(INDEX('TEa input'!$Z$6:$Z$68,$I134)="","",INDEX('TEa input'!$Z$6:$Z$68,$I134))</f>
        <v/>
      </c>
      <c r="U134" s="25" t="str">
        <f aca="false">IF(INDEX('TEa input'!$AA$6:$AA$68,$I134)="","",INDEX('TEa input'!$AA$6:$AA$68,$I134))</f>
        <v/>
      </c>
      <c r="V134" s="25" t="str">
        <f aca="false">IF(INDEX('TEa input'!$AB$6:$AB$68,$I134)="","",INDEX('TEa input'!$AB$6:$AB$68,$I134))</f>
        <v/>
      </c>
      <c r="W134" s="25" t="str">
        <f aca="false">IF(INDEX('TEa input'!$AC$6:$AC$68,$I134)="","",INDEX('TEa input'!$AC$6:$AC$68,$I134))</f>
        <v/>
      </c>
      <c r="X134" s="25" t="str">
        <f aca="false">IF(INDEX('TEa input'!$AD$6:$AD$68,$I134)="","",INDEX('TEa input'!$AD$6:$AD$68,$I134))</f>
        <v/>
      </c>
      <c r="Y134" s="25" t="str">
        <f aca="false">IF(INDEX('TEa input'!$AF$6:$AF$68,$I134)="","",INDEX('TEa input'!$AF$6:$AF$68,$I134))</f>
        <v/>
      </c>
      <c r="AA134" s="26" t="str">
        <f aca="false">IF(OR(J134="",$E134="",N($E134)&lt;=0),"",(J134-ABS(N($F134)))/$E134)</f>
        <v/>
      </c>
      <c r="AB134" s="26" t="str">
        <f aca="false">IF(OR(K134="",$E134="",N($E134)&lt;=0),"",(K134-ABS(N($F134)))/$E134)</f>
        <v/>
      </c>
      <c r="AC134" s="26" t="str">
        <f aca="false">IF(OR(L134="",$E134="",N($E134)&lt;=0),"",(L134-ABS(N($F134)))/$E134)</f>
        <v/>
      </c>
      <c r="AD134" s="26" t="str">
        <f aca="false">IF(OR(M134="",$E134="",N($E134)&lt;=0),"",(M134-ABS(N($F134)))/$E134)</f>
        <v/>
      </c>
      <c r="AE134" s="26" t="str">
        <f aca="false">IF(OR(N134="",$E134="",N($E134)&lt;=0),"",(N134-ABS(N($F134)))/$E134)</f>
        <v/>
      </c>
      <c r="AF134" s="26" t="str">
        <f aca="false">IF(OR(O134="",$E134="",N($E134)&lt;=0),"",(O134-ABS(N($F134)))/$E134)</f>
        <v/>
      </c>
      <c r="AG134" s="26" t="str">
        <f aca="false">IF(OR(P134="",$E134="",N($E134)&lt;=0),"",(P134-ABS(N($F134)))/$E134)</f>
        <v/>
      </c>
      <c r="AH134" s="26" t="str">
        <f aca="false">IF(OR(Q134="",$E134="",N($E134)&lt;=0),"",(Q134-ABS(N($F134)))/$E134)</f>
        <v/>
      </c>
      <c r="AI134" s="26" t="str">
        <f aca="false">IF(OR(R134="",$E134="",N($E134)&lt;=0),"",(R134-ABS(N($F134)))/$E134)</f>
        <v/>
      </c>
      <c r="AJ134" s="26" t="str">
        <f aca="false">IF(OR(S134="",$E134="",N($E134)&lt;=0),"",(S134-ABS(N($F134)))/$E134)</f>
        <v/>
      </c>
      <c r="AK134" s="26" t="str">
        <f aca="false">IF(OR(T134="",$E134="",N($E134)&lt;=0),"",(T134-ABS(N($F134)))/$E134)</f>
        <v/>
      </c>
      <c r="AL134" s="26" t="str">
        <f aca="false">IF(OR(U134="",$E134="",N($E134)&lt;=0),"",(U134-ABS(N($F134)))/$E134)</f>
        <v/>
      </c>
      <c r="AM134" s="26" t="str">
        <f aca="false">IF(OR(V134="",$E134="",N($E134)&lt;=0),"",(V134-ABS(N($F134)))/$E134)</f>
        <v/>
      </c>
      <c r="AN134" s="26" t="str">
        <f aca="false">IF(OR(W134="",$E134="",N($E134)&lt;=0),"",(W134-ABS(N($F134)))/$E134)</f>
        <v/>
      </c>
      <c r="AO134" s="26" t="str">
        <f aca="false">IF(OR(X134="",$E134="",N($E134)&lt;=0),"",(X134-ABS(N($F134)))/$E134)</f>
        <v/>
      </c>
      <c r="AP134" s="26" t="str">
        <f aca="false">IF(OR(Y134="",$E134="",N($E134)&lt;=0),"",(Y134-ABS(N($F134)))/$E134)</f>
        <v/>
      </c>
    </row>
    <row r="135" customFormat="false" ht="15" hidden="false" customHeight="true" outlineLevel="0" collapsed="false">
      <c r="A135" s="9" t="s">
        <v>303</v>
      </c>
      <c r="B135" s="11" t="s">
        <v>326</v>
      </c>
      <c r="C135" s="11" t="s">
        <v>357</v>
      </c>
      <c r="D135" s="21" t="n">
        <v>16.7813</v>
      </c>
      <c r="E135" s="22" t="n">
        <v>7.687</v>
      </c>
      <c r="F135" s="22" t="n">
        <v>5.003</v>
      </c>
      <c r="G135" s="23" t="n">
        <v>1077</v>
      </c>
      <c r="H135" s="11" t="s">
        <v>337</v>
      </c>
      <c r="I135" s="24" t="n">
        <f aca="false">MATCH(A135,'TEa input'!$A$6:$A$68,0)</f>
        <v>62</v>
      </c>
      <c r="J135" s="25" t="str">
        <f aca="false">IF(INDEX('TEa input'!$E$6:$E$68,$I135)="","",INDEX('TEa input'!$E$6:$E$68,$I135))</f>
        <v/>
      </c>
      <c r="K135" s="25" t="str">
        <f aca="false">IF(INDEX('TEa input'!$G$6:$G$68,$I135)="","",INDEX('TEa input'!$G$6:$G$68,$I135))</f>
        <v/>
      </c>
      <c r="L135" s="25" t="str">
        <f aca="false">IF(INDEX('TEa input'!$I$6:$I$68,$I135)="","",INDEX('TEa input'!$I$6:$I$68,$I135))</f>
        <v/>
      </c>
      <c r="M135" s="25" t="str">
        <f aca="false">IF(INDEX('TEa input'!$K$6:$K$68,$I135)="","",INDEX('TEa input'!$K$6:$K$68,$I135))</f>
        <v/>
      </c>
      <c r="N135" s="25" t="str">
        <f aca="false">IF(INDEX('TEa input'!$M$6:$M$68,$I135)="","",INDEX('TEa input'!$M$6:$M$68,$I135))</f>
        <v/>
      </c>
      <c r="O135" s="25" t="str">
        <f aca="false">IF(INDEX('TEa input'!$O$6:$O$68,$I135)="","",INDEX('TEa input'!$O$6:$O$68,$I135))</f>
        <v/>
      </c>
      <c r="P135" s="25" t="str">
        <f aca="false">IF(INDEX('TEa input'!$Q$6:$Q$68,$I135)="","",INDEX('TEa input'!$Q$6:$Q$68,$I135))</f>
        <v/>
      </c>
      <c r="Q135" s="25" t="str">
        <f aca="false">IF(INDEX('TEa input'!$R$6:$R$68,$I135)="","",INDEX('TEa input'!$R$6:$R$68,$I135))</f>
        <v/>
      </c>
      <c r="R135" s="25" t="str">
        <f aca="false">IF(INDEX('TEa input'!$T$6:$T$68,$I135)="","",INDEX('TEa input'!$T$6:$T$68,$I135))</f>
        <v/>
      </c>
      <c r="S135" s="25" t="str">
        <f aca="false">IF(INDEX('TEa input'!$Y$6:$Y$68,$I135)="","",INDEX('TEa input'!$Y$6:$Y$68,$I135))</f>
        <v/>
      </c>
      <c r="T135" s="25" t="str">
        <f aca="false">IF(INDEX('TEa input'!$Z$6:$Z$68,$I135)="","",INDEX('TEa input'!$Z$6:$Z$68,$I135))</f>
        <v/>
      </c>
      <c r="U135" s="25" t="str">
        <f aca="false">IF(INDEX('TEa input'!$AA$6:$AA$68,$I135)="","",INDEX('TEa input'!$AA$6:$AA$68,$I135))</f>
        <v/>
      </c>
      <c r="V135" s="25" t="str">
        <f aca="false">IF(INDEX('TEa input'!$AB$6:$AB$68,$I135)="","",INDEX('TEa input'!$AB$6:$AB$68,$I135))</f>
        <v/>
      </c>
      <c r="W135" s="25" t="str">
        <f aca="false">IF(INDEX('TEa input'!$AC$6:$AC$68,$I135)="","",INDEX('TEa input'!$AC$6:$AC$68,$I135))</f>
        <v/>
      </c>
      <c r="X135" s="25" t="str">
        <f aca="false">IF(INDEX('TEa input'!$AD$6:$AD$68,$I135)="","",INDEX('TEa input'!$AD$6:$AD$68,$I135))</f>
        <v/>
      </c>
      <c r="Y135" s="25" t="str">
        <f aca="false">IF(INDEX('TEa input'!$AF$6:$AF$68,$I135)="","",INDEX('TEa input'!$AF$6:$AF$68,$I135))</f>
        <v/>
      </c>
      <c r="AA135" s="26" t="str">
        <f aca="false">IF(OR(J135="",$E135="",N($E135)&lt;=0),"",(J135-ABS(N($F135)))/$E135)</f>
        <v/>
      </c>
      <c r="AB135" s="26" t="str">
        <f aca="false">IF(OR(K135="",$E135="",N($E135)&lt;=0),"",(K135-ABS(N($F135)))/$E135)</f>
        <v/>
      </c>
      <c r="AC135" s="26" t="str">
        <f aca="false">IF(OR(L135="",$E135="",N($E135)&lt;=0),"",(L135-ABS(N($F135)))/$E135)</f>
        <v/>
      </c>
      <c r="AD135" s="26" t="str">
        <f aca="false">IF(OR(M135="",$E135="",N($E135)&lt;=0),"",(M135-ABS(N($F135)))/$E135)</f>
        <v/>
      </c>
      <c r="AE135" s="26" t="str">
        <f aca="false">IF(OR(N135="",$E135="",N($E135)&lt;=0),"",(N135-ABS(N($F135)))/$E135)</f>
        <v/>
      </c>
      <c r="AF135" s="26" t="str">
        <f aca="false">IF(OR(O135="",$E135="",N($E135)&lt;=0),"",(O135-ABS(N($F135)))/$E135)</f>
        <v/>
      </c>
      <c r="AG135" s="26" t="str">
        <f aca="false">IF(OR(P135="",$E135="",N($E135)&lt;=0),"",(P135-ABS(N($F135)))/$E135)</f>
        <v/>
      </c>
      <c r="AH135" s="26" t="str">
        <f aca="false">IF(OR(Q135="",$E135="",N($E135)&lt;=0),"",(Q135-ABS(N($F135)))/$E135)</f>
        <v/>
      </c>
      <c r="AI135" s="26" t="str">
        <f aca="false">IF(OR(R135="",$E135="",N($E135)&lt;=0),"",(R135-ABS(N($F135)))/$E135)</f>
        <v/>
      </c>
      <c r="AJ135" s="26" t="str">
        <f aca="false">IF(OR(S135="",$E135="",N($E135)&lt;=0),"",(S135-ABS(N($F135)))/$E135)</f>
        <v/>
      </c>
      <c r="AK135" s="26" t="str">
        <f aca="false">IF(OR(T135="",$E135="",N($E135)&lt;=0),"",(T135-ABS(N($F135)))/$E135)</f>
        <v/>
      </c>
      <c r="AL135" s="26" t="str">
        <f aca="false">IF(OR(U135="",$E135="",N($E135)&lt;=0),"",(U135-ABS(N($F135)))/$E135)</f>
        <v/>
      </c>
      <c r="AM135" s="26" t="str">
        <f aca="false">IF(OR(V135="",$E135="",N($E135)&lt;=0),"",(V135-ABS(N($F135)))/$E135)</f>
        <v/>
      </c>
      <c r="AN135" s="26" t="str">
        <f aca="false">IF(OR(W135="",$E135="",N($E135)&lt;=0),"",(W135-ABS(N($F135)))/$E135)</f>
        <v/>
      </c>
      <c r="AO135" s="26" t="str">
        <f aca="false">IF(OR(X135="",$E135="",N($E135)&lt;=0),"",(X135-ABS(N($F135)))/$E135)</f>
        <v/>
      </c>
      <c r="AP135" s="26" t="str">
        <f aca="false">IF(OR(Y135="",$E135="",N($E135)&lt;=0),"",(Y135-ABS(N($F135)))/$E135)</f>
        <v/>
      </c>
    </row>
    <row r="136" customFormat="false" ht="15" hidden="false" customHeight="true" outlineLevel="0" collapsed="false">
      <c r="A136" s="9" t="s">
        <v>303</v>
      </c>
      <c r="B136" s="11" t="s">
        <v>329</v>
      </c>
      <c r="C136" s="11" t="s">
        <v>358</v>
      </c>
      <c r="D136" s="21" t="n">
        <v>95.2543</v>
      </c>
      <c r="E136" s="22" t="n">
        <v>3.373</v>
      </c>
      <c r="F136" s="22" t="n">
        <v>1.234</v>
      </c>
      <c r="G136" s="23" t="n">
        <v>1093</v>
      </c>
      <c r="H136" s="11" t="s">
        <v>335</v>
      </c>
      <c r="I136" s="24" t="n">
        <f aca="false">MATCH(A136,'TEa input'!$A$6:$A$68,0)</f>
        <v>62</v>
      </c>
      <c r="J136" s="25" t="str">
        <f aca="false">IF(INDEX('TEa input'!$E$6:$E$68,$I136)="","",INDEX('TEa input'!$E$6:$E$68,$I136))</f>
        <v/>
      </c>
      <c r="K136" s="25" t="str">
        <f aca="false">IF(INDEX('TEa input'!$G$6:$G$68,$I136)="","",INDEX('TEa input'!$G$6:$G$68,$I136))</f>
        <v/>
      </c>
      <c r="L136" s="25" t="str">
        <f aca="false">IF(INDEX('TEa input'!$I$6:$I$68,$I136)="","",INDEX('TEa input'!$I$6:$I$68,$I136))</f>
        <v/>
      </c>
      <c r="M136" s="25" t="str">
        <f aca="false">IF(INDEX('TEa input'!$K$6:$K$68,$I136)="","",INDEX('TEa input'!$K$6:$K$68,$I136))</f>
        <v/>
      </c>
      <c r="N136" s="25" t="str">
        <f aca="false">IF(INDEX('TEa input'!$M$6:$M$68,$I136)="","",INDEX('TEa input'!$M$6:$M$68,$I136))</f>
        <v/>
      </c>
      <c r="O136" s="25" t="str">
        <f aca="false">IF(INDEX('TEa input'!$O$6:$O$68,$I136)="","",INDEX('TEa input'!$O$6:$O$68,$I136))</f>
        <v/>
      </c>
      <c r="P136" s="25" t="str">
        <f aca="false">IF(INDEX('TEa input'!$Q$6:$Q$68,$I136)="","",INDEX('TEa input'!$Q$6:$Q$68,$I136))</f>
        <v/>
      </c>
      <c r="Q136" s="25" t="str">
        <f aca="false">IF(INDEX('TEa input'!$R$6:$R$68,$I136)="","",INDEX('TEa input'!$R$6:$R$68,$I136))</f>
        <v/>
      </c>
      <c r="R136" s="25" t="str">
        <f aca="false">IF(INDEX('TEa input'!$T$6:$T$68,$I136)="","",INDEX('TEa input'!$T$6:$T$68,$I136))</f>
        <v/>
      </c>
      <c r="S136" s="25" t="str">
        <f aca="false">IF(INDEX('TEa input'!$Y$6:$Y$68,$I136)="","",INDEX('TEa input'!$Y$6:$Y$68,$I136))</f>
        <v/>
      </c>
      <c r="T136" s="25" t="str">
        <f aca="false">IF(INDEX('TEa input'!$Z$6:$Z$68,$I136)="","",INDEX('TEa input'!$Z$6:$Z$68,$I136))</f>
        <v/>
      </c>
      <c r="U136" s="25" t="str">
        <f aca="false">IF(INDEX('TEa input'!$AA$6:$AA$68,$I136)="","",INDEX('TEa input'!$AA$6:$AA$68,$I136))</f>
        <v/>
      </c>
      <c r="V136" s="25" t="str">
        <f aca="false">IF(INDEX('TEa input'!$AB$6:$AB$68,$I136)="","",INDEX('TEa input'!$AB$6:$AB$68,$I136))</f>
        <v/>
      </c>
      <c r="W136" s="25" t="str">
        <f aca="false">IF(INDEX('TEa input'!$AC$6:$AC$68,$I136)="","",INDEX('TEa input'!$AC$6:$AC$68,$I136))</f>
        <v/>
      </c>
      <c r="X136" s="25" t="str">
        <f aca="false">IF(INDEX('TEa input'!$AD$6:$AD$68,$I136)="","",INDEX('TEa input'!$AD$6:$AD$68,$I136))</f>
        <v/>
      </c>
      <c r="Y136" s="25" t="str">
        <f aca="false">IF(INDEX('TEa input'!$AF$6:$AF$68,$I136)="","",INDEX('TEa input'!$AF$6:$AF$68,$I136))</f>
        <v/>
      </c>
      <c r="AA136" s="26" t="str">
        <f aca="false">IF(OR(J136="",$E136="",N($E136)&lt;=0),"",(J136-ABS(N($F136)))/$E136)</f>
        <v/>
      </c>
      <c r="AB136" s="26" t="str">
        <f aca="false">IF(OR(K136="",$E136="",N($E136)&lt;=0),"",(K136-ABS(N($F136)))/$E136)</f>
        <v/>
      </c>
      <c r="AC136" s="26" t="str">
        <f aca="false">IF(OR(L136="",$E136="",N($E136)&lt;=0),"",(L136-ABS(N($F136)))/$E136)</f>
        <v/>
      </c>
      <c r="AD136" s="26" t="str">
        <f aca="false">IF(OR(M136="",$E136="",N($E136)&lt;=0),"",(M136-ABS(N($F136)))/$E136)</f>
        <v/>
      </c>
      <c r="AE136" s="26" t="str">
        <f aca="false">IF(OR(N136="",$E136="",N($E136)&lt;=0),"",(N136-ABS(N($F136)))/$E136)</f>
        <v/>
      </c>
      <c r="AF136" s="26" t="str">
        <f aca="false">IF(OR(O136="",$E136="",N($E136)&lt;=0),"",(O136-ABS(N($F136)))/$E136)</f>
        <v/>
      </c>
      <c r="AG136" s="26" t="str">
        <f aca="false">IF(OR(P136="",$E136="",N($E136)&lt;=0),"",(P136-ABS(N($F136)))/$E136)</f>
        <v/>
      </c>
      <c r="AH136" s="26" t="str">
        <f aca="false">IF(OR(Q136="",$E136="",N($E136)&lt;=0),"",(Q136-ABS(N($F136)))/$E136)</f>
        <v/>
      </c>
      <c r="AI136" s="26" t="str">
        <f aca="false">IF(OR(R136="",$E136="",N($E136)&lt;=0),"",(R136-ABS(N($F136)))/$E136)</f>
        <v/>
      </c>
      <c r="AJ136" s="26" t="str">
        <f aca="false">IF(OR(S136="",$E136="",N($E136)&lt;=0),"",(S136-ABS(N($F136)))/$E136)</f>
        <v/>
      </c>
      <c r="AK136" s="26" t="str">
        <f aca="false">IF(OR(T136="",$E136="",N($E136)&lt;=0),"",(T136-ABS(N($F136)))/$E136)</f>
        <v/>
      </c>
      <c r="AL136" s="26" t="str">
        <f aca="false">IF(OR(U136="",$E136="",N($E136)&lt;=0),"",(U136-ABS(N($F136)))/$E136)</f>
        <v/>
      </c>
      <c r="AM136" s="26" t="str">
        <f aca="false">IF(OR(V136="",$E136="",N($E136)&lt;=0),"",(V136-ABS(N($F136)))/$E136)</f>
        <v/>
      </c>
      <c r="AN136" s="26" t="str">
        <f aca="false">IF(OR(W136="",$E136="",N($E136)&lt;=0),"",(W136-ABS(N($F136)))/$E136)</f>
        <v/>
      </c>
      <c r="AO136" s="26" t="str">
        <f aca="false">IF(OR(X136="",$E136="",N($E136)&lt;=0),"",(X136-ABS(N($F136)))/$E136)</f>
        <v/>
      </c>
      <c r="AP136" s="26" t="str">
        <f aca="false">IF(OR(Y136="",$E136="",N($E136)&lt;=0),"",(Y136-ABS(N($F136)))/$E136)</f>
        <v/>
      </c>
    </row>
    <row r="137" customFormat="false" ht="15" hidden="false" customHeight="true" outlineLevel="0" collapsed="false">
      <c r="A137" s="9" t="s">
        <v>305</v>
      </c>
      <c r="B137" s="11" t="s">
        <v>326</v>
      </c>
      <c r="C137" s="11" t="s">
        <v>334</v>
      </c>
      <c r="D137" s="21" t="n">
        <v>1.13815</v>
      </c>
      <c r="E137" s="22" t="n">
        <v>6.316</v>
      </c>
      <c r="F137" s="22" t="n">
        <v>0.181</v>
      </c>
      <c r="G137" s="23" t="n">
        <v>1039</v>
      </c>
      <c r="H137" s="11" t="s">
        <v>337</v>
      </c>
      <c r="I137" s="24" t="n">
        <f aca="false">MATCH(A137,'TEa input'!$A$6:$A$68,0)</f>
        <v>63</v>
      </c>
      <c r="J137" s="25" t="str">
        <f aca="false">IF(INDEX('TEa input'!$E$6:$E$68,$I137)="","",INDEX('TEa input'!$E$6:$E$68,$I137))</f>
        <v/>
      </c>
      <c r="K137" s="25" t="n">
        <f aca="false">IF(INDEX('TEa input'!$G$6:$G$68,$I137)="","",INDEX('TEa input'!$G$6:$G$68,$I137))</f>
        <v>15</v>
      </c>
      <c r="L137" s="25" t="str">
        <f aca="false">IF(INDEX('TEa input'!$I$6:$I$68,$I137)="","",INDEX('TEa input'!$I$6:$I$68,$I137))</f>
        <v/>
      </c>
      <c r="M137" s="25" t="str">
        <f aca="false">IF(INDEX('TEa input'!$K$6:$K$68,$I137)="","",INDEX('TEa input'!$K$6:$K$68,$I137))</f>
        <v/>
      </c>
      <c r="N137" s="25" t="n">
        <f aca="false">IF(INDEX('TEa input'!$M$6:$M$68,$I137)="","",INDEX('TEa input'!$M$6:$M$68,$I137))</f>
        <v>10</v>
      </c>
      <c r="O137" s="25" t="str">
        <f aca="false">IF(INDEX('TEa input'!$O$6:$O$68,$I137)="","",INDEX('TEa input'!$O$6:$O$68,$I137))</f>
        <v/>
      </c>
      <c r="P137" s="25" t="n">
        <f aca="false">IF(INDEX('TEa input'!$Q$6:$Q$68,$I137)="","",INDEX('TEa input'!$Q$6:$Q$68,$I137))</f>
        <v>30</v>
      </c>
      <c r="Q137" s="25" t="str">
        <f aca="false">IF(INDEX('TEa input'!$R$6:$R$68,$I137)="","",INDEX('TEa input'!$R$6:$R$68,$I137))</f>
        <v/>
      </c>
      <c r="R137" s="25" t="str">
        <f aca="false">IF(INDEX('TEa input'!$T$6:$T$68,$I137)="","",INDEX('TEa input'!$T$6:$T$68,$I137))</f>
        <v/>
      </c>
      <c r="S137" s="25" t="str">
        <f aca="false">IF(INDEX('TEa input'!$Y$6:$Y$68,$I137)="","",INDEX('TEa input'!$Y$6:$Y$68,$I137))</f>
        <v/>
      </c>
      <c r="T137" s="25" t="str">
        <f aca="false">IF(INDEX('TEa input'!$Z$6:$Z$68,$I137)="","",INDEX('TEa input'!$Z$6:$Z$68,$I137))</f>
        <v/>
      </c>
      <c r="U137" s="25" t="str">
        <f aca="false">IF(INDEX('TEa input'!$AA$6:$AA$68,$I137)="","",INDEX('TEa input'!$AA$6:$AA$68,$I137))</f>
        <v/>
      </c>
      <c r="V137" s="25" t="str">
        <f aca="false">IF(INDEX('TEa input'!$AB$6:$AB$68,$I137)="","",INDEX('TEa input'!$AB$6:$AB$68,$I137))</f>
        <v/>
      </c>
      <c r="W137" s="25" t="str">
        <f aca="false">IF(INDEX('TEa input'!$AC$6:$AC$68,$I137)="","",INDEX('TEa input'!$AC$6:$AC$68,$I137))</f>
        <v/>
      </c>
      <c r="X137" s="25" t="str">
        <f aca="false">IF(INDEX('TEa input'!$AD$6:$AD$68,$I137)="","",INDEX('TEa input'!$AD$6:$AD$68,$I137))</f>
        <v/>
      </c>
      <c r="Y137" s="25" t="str">
        <f aca="false">IF(INDEX('TEa input'!$AF$6:$AF$68,$I137)="","",INDEX('TEa input'!$AF$6:$AF$68,$I137))</f>
        <v/>
      </c>
      <c r="AA137" s="26" t="str">
        <f aca="false">IF(OR(J137="",$E137="",N($E137)&lt;=0),"",(J137-ABS(N($F137)))/$E137)</f>
        <v/>
      </c>
      <c r="AB137" s="26" t="n">
        <f aca="false">IF(OR(K137="",$E137="",N($E137)&lt;=0),"",(K137-ABS(N($F137)))/$E137)</f>
        <v>2.34626345788474</v>
      </c>
      <c r="AC137" s="26" t="str">
        <f aca="false">IF(OR(L137="",$E137="",N($E137)&lt;=0),"",(L137-ABS(N($F137)))/$E137)</f>
        <v/>
      </c>
      <c r="AD137" s="26" t="str">
        <f aca="false">IF(OR(M137="",$E137="",N($E137)&lt;=0),"",(M137-ABS(N($F137)))/$E137)</f>
        <v/>
      </c>
      <c r="AE137" s="26" t="n">
        <f aca="false">IF(OR(N137="",$E137="",N($E137)&lt;=0),"",(N137-ABS(N($F137)))/$E137)</f>
        <v>1.55462317922736</v>
      </c>
      <c r="AF137" s="26" t="str">
        <f aca="false">IF(OR(O137="",$E137="",N($E137)&lt;=0),"",(O137-ABS(N($F137)))/$E137)</f>
        <v/>
      </c>
      <c r="AG137" s="26" t="n">
        <f aca="false">IF(OR(P137="",$E137="",N($E137)&lt;=0),"",(P137-ABS(N($F137)))/$E137)</f>
        <v>4.72118429385687</v>
      </c>
      <c r="AH137" s="26" t="str">
        <f aca="false">IF(OR(Q137="",$E137="",N($E137)&lt;=0),"",(Q137-ABS(N($F137)))/$E137)</f>
        <v/>
      </c>
      <c r="AI137" s="26" t="str">
        <f aca="false">IF(OR(R137="",$E137="",N($E137)&lt;=0),"",(R137-ABS(N($F137)))/$E137)</f>
        <v/>
      </c>
      <c r="AJ137" s="26" t="str">
        <f aca="false">IF(OR(S137="",$E137="",N($E137)&lt;=0),"",(S137-ABS(N($F137)))/$E137)</f>
        <v/>
      </c>
      <c r="AK137" s="26" t="str">
        <f aca="false">IF(OR(T137="",$E137="",N($E137)&lt;=0),"",(T137-ABS(N($F137)))/$E137)</f>
        <v/>
      </c>
      <c r="AL137" s="26" t="str">
        <f aca="false">IF(OR(U137="",$E137="",N($E137)&lt;=0),"",(U137-ABS(N($F137)))/$E137)</f>
        <v/>
      </c>
      <c r="AM137" s="26" t="str">
        <f aca="false">IF(OR(V137="",$E137="",N($E137)&lt;=0),"",(V137-ABS(N($F137)))/$E137)</f>
        <v/>
      </c>
      <c r="AN137" s="26" t="str">
        <f aca="false">IF(OR(W137="",$E137="",N($E137)&lt;=0),"",(W137-ABS(N($F137)))/$E137)</f>
        <v/>
      </c>
      <c r="AO137" s="26" t="str">
        <f aca="false">IF(OR(X137="",$E137="",N($E137)&lt;=0),"",(X137-ABS(N($F137)))/$E137)</f>
        <v/>
      </c>
      <c r="AP137" s="26" t="str">
        <f aca="false">IF(OR(Y137="",$E137="",N($E137)&lt;=0),"",(Y137-ABS(N($F137)))/$E137)</f>
        <v/>
      </c>
    </row>
    <row r="138" customFormat="false" ht="15" hidden="false" customHeight="true" outlineLevel="0" collapsed="false">
      <c r="A138" s="9" t="s">
        <v>305</v>
      </c>
      <c r="B138" s="11" t="s">
        <v>329</v>
      </c>
      <c r="C138" s="11" t="s">
        <v>336</v>
      </c>
      <c r="D138" s="21" t="n">
        <v>2.67603</v>
      </c>
      <c r="E138" s="22" t="n">
        <v>3.856</v>
      </c>
      <c r="F138" s="22" t="n">
        <v>1.084</v>
      </c>
      <c r="G138" s="23" t="n">
        <v>1050</v>
      </c>
      <c r="H138" s="11" t="s">
        <v>337</v>
      </c>
      <c r="I138" s="24" t="n">
        <f aca="false">MATCH(A138,'TEa input'!$A$6:$A$68,0)</f>
        <v>63</v>
      </c>
      <c r="J138" s="25" t="str">
        <f aca="false">IF(INDEX('TEa input'!$E$6:$E$68,$I138)="","",INDEX('TEa input'!$E$6:$E$68,$I138))</f>
        <v/>
      </c>
      <c r="K138" s="25" t="n">
        <f aca="false">IF(INDEX('TEa input'!$G$6:$G$68,$I138)="","",INDEX('TEa input'!$G$6:$G$68,$I138))</f>
        <v>15</v>
      </c>
      <c r="L138" s="25" t="str">
        <f aca="false">IF(INDEX('TEa input'!$I$6:$I$68,$I138)="","",INDEX('TEa input'!$I$6:$I$68,$I138))</f>
        <v/>
      </c>
      <c r="M138" s="25" t="str">
        <f aca="false">IF(INDEX('TEa input'!$K$6:$K$68,$I138)="","",INDEX('TEa input'!$K$6:$K$68,$I138))</f>
        <v/>
      </c>
      <c r="N138" s="25" t="n">
        <f aca="false">IF(INDEX('TEa input'!$M$6:$M$68,$I138)="","",INDEX('TEa input'!$M$6:$M$68,$I138))</f>
        <v>10</v>
      </c>
      <c r="O138" s="25" t="str">
        <f aca="false">IF(INDEX('TEa input'!$O$6:$O$68,$I138)="","",INDEX('TEa input'!$O$6:$O$68,$I138))</f>
        <v/>
      </c>
      <c r="P138" s="25" t="n">
        <f aca="false">IF(INDEX('TEa input'!$Q$6:$Q$68,$I138)="","",INDEX('TEa input'!$Q$6:$Q$68,$I138))</f>
        <v>30</v>
      </c>
      <c r="Q138" s="25" t="str">
        <f aca="false">IF(INDEX('TEa input'!$R$6:$R$68,$I138)="","",INDEX('TEa input'!$R$6:$R$68,$I138))</f>
        <v/>
      </c>
      <c r="R138" s="25" t="str">
        <f aca="false">IF(INDEX('TEa input'!$T$6:$T$68,$I138)="","",INDEX('TEa input'!$T$6:$T$68,$I138))</f>
        <v/>
      </c>
      <c r="S138" s="25" t="str">
        <f aca="false">IF(INDEX('TEa input'!$Y$6:$Y$68,$I138)="","",INDEX('TEa input'!$Y$6:$Y$68,$I138))</f>
        <v/>
      </c>
      <c r="T138" s="25" t="str">
        <f aca="false">IF(INDEX('TEa input'!$Z$6:$Z$68,$I138)="","",INDEX('TEa input'!$Z$6:$Z$68,$I138))</f>
        <v/>
      </c>
      <c r="U138" s="25" t="str">
        <f aca="false">IF(INDEX('TEa input'!$AA$6:$AA$68,$I138)="","",INDEX('TEa input'!$AA$6:$AA$68,$I138))</f>
        <v/>
      </c>
      <c r="V138" s="25" t="str">
        <f aca="false">IF(INDEX('TEa input'!$AB$6:$AB$68,$I138)="","",INDEX('TEa input'!$AB$6:$AB$68,$I138))</f>
        <v/>
      </c>
      <c r="W138" s="25" t="str">
        <f aca="false">IF(INDEX('TEa input'!$AC$6:$AC$68,$I138)="","",INDEX('TEa input'!$AC$6:$AC$68,$I138))</f>
        <v/>
      </c>
      <c r="X138" s="25" t="str">
        <f aca="false">IF(INDEX('TEa input'!$AD$6:$AD$68,$I138)="","",INDEX('TEa input'!$AD$6:$AD$68,$I138))</f>
        <v/>
      </c>
      <c r="Y138" s="25" t="str">
        <f aca="false">IF(INDEX('TEa input'!$AF$6:$AF$68,$I138)="","",INDEX('TEa input'!$AF$6:$AF$68,$I138))</f>
        <v/>
      </c>
      <c r="AA138" s="26" t="str">
        <f aca="false">IF(OR(J138="",$E138="",N($E138)&lt;=0),"",(J138-ABS(N($F138)))/$E138)</f>
        <v/>
      </c>
      <c r="AB138" s="26" t="n">
        <f aca="false">IF(OR(K138="",$E138="",N($E138)&lt;=0),"",(K138-ABS(N($F138)))/$E138)</f>
        <v>3.60892116182573</v>
      </c>
      <c r="AC138" s="26" t="str">
        <f aca="false">IF(OR(L138="",$E138="",N($E138)&lt;=0),"",(L138-ABS(N($F138)))/$E138)</f>
        <v/>
      </c>
      <c r="AD138" s="26" t="str">
        <f aca="false">IF(OR(M138="",$E138="",N($E138)&lt;=0),"",(M138-ABS(N($F138)))/$E138)</f>
        <v/>
      </c>
      <c r="AE138" s="26" t="n">
        <f aca="false">IF(OR(N138="",$E138="",N($E138)&lt;=0),"",(N138-ABS(N($F138)))/$E138)</f>
        <v>2.31224066390042</v>
      </c>
      <c r="AF138" s="26" t="str">
        <f aca="false">IF(OR(O138="",$E138="",N($E138)&lt;=0),"",(O138-ABS(N($F138)))/$E138)</f>
        <v/>
      </c>
      <c r="AG138" s="26" t="n">
        <f aca="false">IF(OR(P138="",$E138="",N($E138)&lt;=0),"",(P138-ABS(N($F138)))/$E138)</f>
        <v>7.49896265560166</v>
      </c>
      <c r="AH138" s="26" t="str">
        <f aca="false">IF(OR(Q138="",$E138="",N($E138)&lt;=0),"",(Q138-ABS(N($F138)))/$E138)</f>
        <v/>
      </c>
      <c r="AI138" s="26" t="str">
        <f aca="false">IF(OR(R138="",$E138="",N($E138)&lt;=0),"",(R138-ABS(N($F138)))/$E138)</f>
        <v/>
      </c>
      <c r="AJ138" s="26" t="str">
        <f aca="false">IF(OR(S138="",$E138="",N($E138)&lt;=0),"",(S138-ABS(N($F138)))/$E138)</f>
        <v/>
      </c>
      <c r="AK138" s="26" t="str">
        <f aca="false">IF(OR(T138="",$E138="",N($E138)&lt;=0),"",(T138-ABS(N($F138)))/$E138)</f>
        <v/>
      </c>
      <c r="AL138" s="26" t="str">
        <f aca="false">IF(OR(U138="",$E138="",N($E138)&lt;=0),"",(U138-ABS(N($F138)))/$E138)</f>
        <v/>
      </c>
      <c r="AM138" s="26" t="str">
        <f aca="false">IF(OR(V138="",$E138="",N($E138)&lt;=0),"",(V138-ABS(N($F138)))/$E138)</f>
        <v/>
      </c>
      <c r="AN138" s="26" t="str">
        <f aca="false">IF(OR(W138="",$E138="",N($E138)&lt;=0),"",(W138-ABS(N($F138)))/$E138)</f>
        <v/>
      </c>
      <c r="AO138" s="26" t="str">
        <f aca="false">IF(OR(X138="",$E138="",N($E138)&lt;=0),"",(X138-ABS(N($F138)))/$E138)</f>
        <v/>
      </c>
      <c r="AP138" s="26" t="str">
        <f aca="false">IF(OR(Y138="",$E138="",N($E138)&lt;=0),"",(Y138-ABS(N($F138)))/$E138)</f>
        <v/>
      </c>
    </row>
  </sheetData>
  <autoFilter ref="A5:AP138"/>
  <mergeCells count="11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Y4"/>
    <mergeCell ref="AA4:AP4"/>
  </mergeCells>
  <conditionalFormatting sqref="AA6:AP138">
    <cfRule type="expression" priority="2" aboveAverage="0" equalAverage="0" bottom="0" percent="0" rank="0" text="" dxfId="13">
      <formula>AND(ISNUMBER(AA6),AA6&lt;3)</formula>
    </cfRule>
    <cfRule type="expression" priority="3" aboveAverage="0" equalAverage="0" bottom="0" percent="0" rank="0" text="" dxfId="14">
      <formula>AND(ISNUMBER(AA6),AA6&gt;=3,AA6&lt;4)</formula>
    </cfRule>
    <cfRule type="expression" priority="4" aboveAverage="0" equalAverage="0" bottom="0" percent="0" rank="0" text="" dxfId="15">
      <formula>AND(ISNUMBER(AA6),AA6&gt;=4,AA6&lt;6)</formula>
    </cfRule>
    <cfRule type="expression" priority="5" aboveAverage="0" equalAverage="0" bottom="0" percent="0" rank="0" text="" dxfId="16">
      <formula>AND(ISNUMBER(AA6),AA6&gt;=6)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12"/>
  </cols>
  <sheetData>
    <row r="1" customFormat="false" ht="15.75" hidden="false" customHeight="true" outlineLevel="0" collapsed="false">
      <c r="A1" s="6" t="s">
        <v>359</v>
      </c>
    </row>
    <row r="2" customFormat="false" ht="15" hidden="false" customHeight="true" outlineLevel="0" collapsed="false">
      <c r="A2" s="7" t="s">
        <v>360</v>
      </c>
    </row>
    <row r="4" customFormat="false" ht="30" hidden="false" customHeight="true" outlineLevel="0" collapsed="false">
      <c r="A4" s="8" t="s">
        <v>22</v>
      </c>
      <c r="B4" s="8" t="s">
        <v>23</v>
      </c>
      <c r="C4" s="8" t="s">
        <v>361</v>
      </c>
      <c r="D4" s="8" t="s">
        <v>362</v>
      </c>
      <c r="E4" s="8" t="s">
        <v>363</v>
      </c>
    </row>
    <row r="5" customFormat="false" ht="15" hidden="false" customHeight="true" outlineLevel="0" collapsed="false">
      <c r="A5" s="9" t="s">
        <v>51</v>
      </c>
      <c r="B5" s="11" t="s">
        <v>52</v>
      </c>
      <c r="C5" s="11" t="s">
        <v>26</v>
      </c>
      <c r="D5" s="27" t="n">
        <f aca="false">IF('TEa input'!E6="","",'TEa input'!E6)</f>
        <v>2</v>
      </c>
      <c r="E5" s="28" t="n">
        <f aca="false">IF(D5="","",MIN(Sigma!AA6:AA7))</f>
        <v>1.62132352941176</v>
      </c>
    </row>
    <row r="6" customFormat="false" ht="15" hidden="false" customHeight="true" outlineLevel="0" collapsed="false">
      <c r="A6" s="9" t="s">
        <v>51</v>
      </c>
      <c r="B6" s="11" t="s">
        <v>52</v>
      </c>
      <c r="C6" s="11" t="s">
        <v>27</v>
      </c>
      <c r="D6" s="27" t="str">
        <f aca="false">IF('TEa input'!G6="","",'TEa input'!G6)</f>
        <v/>
      </c>
      <c r="E6" s="28" t="str">
        <f aca="false">IF(D6="","",MIN(Sigma!AB6:AB7))</f>
        <v/>
      </c>
    </row>
    <row r="7" customFormat="false" ht="15" hidden="false" customHeight="true" outlineLevel="0" collapsed="false">
      <c r="A7" s="9" t="s">
        <v>51</v>
      </c>
      <c r="B7" s="11" t="s">
        <v>52</v>
      </c>
      <c r="C7" s="11" t="s">
        <v>28</v>
      </c>
      <c r="D7" s="27" t="n">
        <f aca="false">IF('TEa input'!I6="","",'TEa input'!I6)</f>
        <v>3</v>
      </c>
      <c r="E7" s="28" t="n">
        <f aca="false">IF(D7="","",MIN(Sigma!AC6:AC7))</f>
        <v>2.54044117647059</v>
      </c>
    </row>
    <row r="8" customFormat="false" ht="15" hidden="false" customHeight="true" outlineLevel="0" collapsed="false">
      <c r="A8" s="9" t="s">
        <v>51</v>
      </c>
      <c r="B8" s="11" t="s">
        <v>52</v>
      </c>
      <c r="C8" s="11" t="s">
        <v>29</v>
      </c>
      <c r="D8" s="27" t="str">
        <f aca="false">IF('TEa input'!K6="","",'TEa input'!K6)</f>
        <v/>
      </c>
      <c r="E8" s="28" t="str">
        <f aca="false">IF(D8="","",MIN(Sigma!AD6:AD7))</f>
        <v/>
      </c>
    </row>
    <row r="9" customFormat="false" ht="15" hidden="false" customHeight="true" outlineLevel="0" collapsed="false">
      <c r="A9" s="9" t="s">
        <v>51</v>
      </c>
      <c r="B9" s="11" t="s">
        <v>52</v>
      </c>
      <c r="C9" s="11" t="s">
        <v>30</v>
      </c>
      <c r="D9" s="27" t="n">
        <f aca="false">IF('TEa input'!M6="","",'TEa input'!M6)</f>
        <v>2</v>
      </c>
      <c r="E9" s="28" t="n">
        <f aca="false">IF(D9="","",MIN(Sigma!AE6:AE7))</f>
        <v>1.62132352941176</v>
      </c>
    </row>
    <row r="10" customFormat="false" ht="15" hidden="false" customHeight="true" outlineLevel="0" collapsed="false">
      <c r="A10" s="9" t="s">
        <v>51</v>
      </c>
      <c r="B10" s="11" t="s">
        <v>52</v>
      </c>
      <c r="C10" s="11" t="s">
        <v>31</v>
      </c>
      <c r="D10" s="27" t="n">
        <f aca="false">IF('TEa input'!O6="","",'TEa input'!O6)</f>
        <v>4</v>
      </c>
      <c r="E10" s="28" t="n">
        <f aca="false">IF(D10="","",MIN(Sigma!AF6:AF7))</f>
        <v>3.45955882352941</v>
      </c>
    </row>
    <row r="11" customFormat="false" ht="15" hidden="false" customHeight="true" outlineLevel="0" collapsed="false">
      <c r="A11" s="9" t="s">
        <v>51</v>
      </c>
      <c r="B11" s="11" t="s">
        <v>52</v>
      </c>
      <c r="C11" s="11" t="s">
        <v>32</v>
      </c>
      <c r="D11" s="27" t="n">
        <f aca="false">IF('TEa input'!Q6="","",'TEa input'!Q6)</f>
        <v>5</v>
      </c>
      <c r="E11" s="28" t="n">
        <f aca="false">IF(D11="","",MIN(Sigma!AG6:AG7))</f>
        <v>4.37867647058824</v>
      </c>
    </row>
    <row r="12" customFormat="false" ht="15" hidden="false" customHeight="true" outlineLevel="0" collapsed="false">
      <c r="A12" s="9" t="s">
        <v>51</v>
      </c>
      <c r="B12" s="11" t="s">
        <v>52</v>
      </c>
      <c r="C12" s="11" t="s">
        <v>33</v>
      </c>
      <c r="D12" s="27" t="n">
        <f aca="false">IF('TEa input'!R6="","",'TEa input'!R6)</f>
        <v>3.4</v>
      </c>
      <c r="E12" s="28" t="n">
        <f aca="false">IF(D12="","",MIN(Sigma!AH6:AH7))</f>
        <v>2.90808823529412</v>
      </c>
    </row>
    <row r="13" customFormat="false" ht="15" hidden="false" customHeight="true" outlineLevel="0" collapsed="false">
      <c r="A13" s="9" t="s">
        <v>51</v>
      </c>
      <c r="B13" s="11" t="s">
        <v>52</v>
      </c>
      <c r="C13" s="11" t="s">
        <v>34</v>
      </c>
      <c r="D13" s="27" t="n">
        <f aca="false">IF('TEa input'!T6="","",'TEa input'!T6)</f>
        <v>9</v>
      </c>
      <c r="E13" s="28" t="n">
        <f aca="false">IF(D13="","",MIN(Sigma!AI6:AI7))</f>
        <v>8.05514705882353</v>
      </c>
    </row>
    <row r="14" customFormat="false" ht="15" hidden="false" customHeight="true" outlineLevel="0" collapsed="false">
      <c r="A14" s="9" t="s">
        <v>51</v>
      </c>
      <c r="B14" s="11" t="s">
        <v>52</v>
      </c>
      <c r="C14" s="11" t="s">
        <v>320</v>
      </c>
      <c r="D14" s="27" t="n">
        <f aca="false">IF('TEa input'!Y6="","",'TEa input'!Y6)</f>
        <v>0.313779065838033</v>
      </c>
      <c r="E14" s="28" t="n">
        <f aca="false">IF(D14="","",MIN(Sigma!AJ6:AJ7))</f>
        <v>0.0714881119834861</v>
      </c>
    </row>
    <row r="15" customFormat="false" ht="15" hidden="false" customHeight="true" outlineLevel="0" collapsed="false">
      <c r="A15" s="9" t="s">
        <v>51</v>
      </c>
      <c r="B15" s="11" t="s">
        <v>52</v>
      </c>
      <c r="C15" s="11" t="s">
        <v>321</v>
      </c>
      <c r="D15" s="27" t="n">
        <f aca="false">IF('TEa input'!Z6="","",'TEa input'!Z6)</f>
        <v>0.627558131676066</v>
      </c>
      <c r="E15" s="28" t="n">
        <f aca="false">IF(D15="","",MIN(Sigma!AK6:AK7))</f>
        <v>0.359887988672855</v>
      </c>
    </row>
    <row r="16" customFormat="false" ht="15" hidden="false" customHeight="true" outlineLevel="0" collapsed="false">
      <c r="A16" s="9" t="s">
        <v>51</v>
      </c>
      <c r="B16" s="11" t="s">
        <v>52</v>
      </c>
      <c r="C16" s="11" t="s">
        <v>322</v>
      </c>
      <c r="D16" s="27" t="n">
        <f aca="false">IF('TEa input'!AA6="","",'TEa input'!AA6)</f>
        <v>0.941337197514098</v>
      </c>
      <c r="E16" s="28" t="n">
        <f aca="false">IF(D16="","",MIN(Sigma!AL6:AL7))</f>
        <v>0.648287865362223</v>
      </c>
    </row>
    <row r="17" customFormat="false" ht="15" hidden="false" customHeight="true" outlineLevel="0" collapsed="false">
      <c r="A17" s="9" t="s">
        <v>51</v>
      </c>
      <c r="B17" s="11" t="s">
        <v>52</v>
      </c>
      <c r="C17" s="11" t="s">
        <v>323</v>
      </c>
      <c r="D17" s="27" t="str">
        <f aca="false">IF('TEa input'!AB6="","",'TEa input'!AB6)</f>
        <v/>
      </c>
      <c r="E17" s="28" t="str">
        <f aca="false">IF(D17="","",MIN(Sigma!AM6:AM7))</f>
        <v/>
      </c>
    </row>
    <row r="18" customFormat="false" ht="15" hidden="false" customHeight="true" outlineLevel="0" collapsed="false">
      <c r="A18" s="9" t="s">
        <v>51</v>
      </c>
      <c r="B18" s="11" t="s">
        <v>52</v>
      </c>
      <c r="C18" s="11" t="s">
        <v>324</v>
      </c>
      <c r="D18" s="27" t="n">
        <f aca="false">IF('TEa input'!AC6="","",'TEa input'!AC6)</f>
        <v>0.73</v>
      </c>
      <c r="E18" s="28" t="n">
        <f aca="false">IF(D18="","",MIN(Sigma!AN6:AN7))</f>
        <v>0.454044117647059</v>
      </c>
    </row>
    <row r="19" customFormat="false" ht="15" hidden="false" customHeight="true" outlineLevel="0" collapsed="false">
      <c r="A19" s="9" t="s">
        <v>51</v>
      </c>
      <c r="B19" s="11" t="s">
        <v>52</v>
      </c>
      <c r="C19" s="11" t="s">
        <v>325</v>
      </c>
      <c r="D19" s="27" t="str">
        <f aca="false">IF('TEa input'!AD6="","",'TEa input'!AD6)</f>
        <v/>
      </c>
      <c r="E19" s="28" t="str">
        <f aca="false">IF(D19="","",MIN(Sigma!AO6:AO7))</f>
        <v/>
      </c>
    </row>
    <row r="20" customFormat="false" ht="15" hidden="false" customHeight="true" outlineLevel="0" collapsed="false">
      <c r="A20" s="9" t="s">
        <v>51</v>
      </c>
      <c r="B20" s="11" t="s">
        <v>52</v>
      </c>
      <c r="C20" s="29" t="str">
        <f aca="false">IF('TEa input'!AE6="","Other",'TEa input'!AE6)</f>
        <v>Other</v>
      </c>
      <c r="D20" s="27" t="str">
        <f aca="false">IF('TEa input'!AF6="","",'TEa input'!AF6)</f>
        <v/>
      </c>
      <c r="E20" s="28" t="str">
        <f aca="false">IF(D20="","",MIN(Sigma!AP6:AP7))</f>
        <v/>
      </c>
    </row>
    <row r="21" customFormat="false" ht="15" hidden="false" customHeight="true" outlineLevel="0" collapsed="false">
      <c r="A21" s="9" t="s">
        <v>60</v>
      </c>
      <c r="B21" s="11" t="s">
        <v>52</v>
      </c>
      <c r="C21" s="11" t="s">
        <v>26</v>
      </c>
      <c r="D21" s="27" t="n">
        <f aca="false">IF('TEa input'!E7="","",'TEa input'!E7)</f>
        <v>8</v>
      </c>
      <c r="E21" s="28" t="n">
        <f aca="false">IF(D21="","",MIN(Sigma!AA8:AA9))</f>
        <v>4.14293221229637</v>
      </c>
    </row>
    <row r="22" customFormat="false" ht="15" hidden="false" customHeight="true" outlineLevel="0" collapsed="false">
      <c r="A22" s="9" t="s">
        <v>60</v>
      </c>
      <c r="B22" s="11" t="s">
        <v>52</v>
      </c>
      <c r="C22" s="11" t="s">
        <v>27</v>
      </c>
      <c r="D22" s="27" t="n">
        <f aca="false">IF('TEa input'!G7="","",'TEa input'!G7)</f>
        <v>10</v>
      </c>
      <c r="E22" s="28" t="n">
        <f aca="false">IF(D22="","",MIN(Sigma!AB8:AB9))</f>
        <v>5.19390436153442</v>
      </c>
    </row>
    <row r="23" customFormat="false" ht="15" hidden="false" customHeight="true" outlineLevel="0" collapsed="false">
      <c r="A23" s="9" t="s">
        <v>60</v>
      </c>
      <c r="B23" s="11" t="s">
        <v>52</v>
      </c>
      <c r="C23" s="11" t="s">
        <v>28</v>
      </c>
      <c r="D23" s="27" t="n">
        <f aca="false">IF('TEa input'!I7="","",'TEa input'!I7)</f>
        <v>11.5</v>
      </c>
      <c r="E23" s="28" t="n">
        <f aca="false">IF(D23="","",MIN(Sigma!AC8:AC9))</f>
        <v>5.98213347346295</v>
      </c>
    </row>
    <row r="24" customFormat="false" ht="15" hidden="false" customHeight="true" outlineLevel="0" collapsed="false">
      <c r="A24" s="9" t="s">
        <v>60</v>
      </c>
      <c r="B24" s="11" t="s">
        <v>52</v>
      </c>
      <c r="C24" s="11" t="s">
        <v>29</v>
      </c>
      <c r="D24" s="27" t="str">
        <f aca="false">IF('TEa input'!K7="","",'TEa input'!K7)</f>
        <v/>
      </c>
      <c r="E24" s="28" t="str">
        <f aca="false">IF(D24="","",MIN(Sigma!AD8:AD9))</f>
        <v/>
      </c>
    </row>
    <row r="25" customFormat="false" ht="15" hidden="false" customHeight="true" outlineLevel="0" collapsed="false">
      <c r="A25" s="9" t="s">
        <v>60</v>
      </c>
      <c r="B25" s="11" t="s">
        <v>52</v>
      </c>
      <c r="C25" s="11" t="s">
        <v>30</v>
      </c>
      <c r="D25" s="27" t="n">
        <f aca="false">IF('TEa input'!M7="","",'TEa input'!M7)</f>
        <v>8</v>
      </c>
      <c r="E25" s="28" t="n">
        <f aca="false">IF(D25="","",MIN(Sigma!AE8:AE9))</f>
        <v>4.14293221229637</v>
      </c>
    </row>
    <row r="26" customFormat="false" ht="15" hidden="false" customHeight="true" outlineLevel="0" collapsed="false">
      <c r="A26" s="9" t="s">
        <v>60</v>
      </c>
      <c r="B26" s="11" t="s">
        <v>52</v>
      </c>
      <c r="C26" s="11" t="s">
        <v>31</v>
      </c>
      <c r="D26" s="27" t="n">
        <f aca="false">IF('TEa input'!O7="","",'TEa input'!O7)</f>
        <v>12</v>
      </c>
      <c r="E26" s="28" t="n">
        <f aca="false">IF(D26="","",MIN(Sigma!AF8:AF9))</f>
        <v>6.24487651077247</v>
      </c>
    </row>
    <row r="27" customFormat="false" ht="15" hidden="false" customHeight="true" outlineLevel="0" collapsed="false">
      <c r="A27" s="9" t="s">
        <v>60</v>
      </c>
      <c r="B27" s="11" t="s">
        <v>52</v>
      </c>
      <c r="C27" s="11" t="s">
        <v>32</v>
      </c>
      <c r="D27" s="27" t="n">
        <f aca="false">IF('TEa input'!Q7="","",'TEa input'!Q7)</f>
        <v>15</v>
      </c>
      <c r="E27" s="28" t="n">
        <f aca="false">IF(D27="","",MIN(Sigma!AG8:AG9))</f>
        <v>7.82133473462953</v>
      </c>
    </row>
    <row r="28" customFormat="false" ht="15" hidden="false" customHeight="true" outlineLevel="0" collapsed="false">
      <c r="A28" s="9" t="s">
        <v>60</v>
      </c>
      <c r="B28" s="11" t="s">
        <v>52</v>
      </c>
      <c r="C28" s="11" t="s">
        <v>33</v>
      </c>
      <c r="D28" s="27" t="n">
        <f aca="false">IF('TEa input'!R7="","",'TEa input'!R7)</f>
        <v>10.9</v>
      </c>
      <c r="E28" s="28" t="n">
        <f aca="false">IF(D28="","",MIN(Sigma!AH8:AH9))</f>
        <v>5.66684182869154</v>
      </c>
    </row>
    <row r="29" customFormat="false" ht="15" hidden="false" customHeight="true" outlineLevel="0" collapsed="false">
      <c r="A29" s="9" t="s">
        <v>60</v>
      </c>
      <c r="B29" s="11" t="s">
        <v>52</v>
      </c>
      <c r="C29" s="11" t="s">
        <v>34</v>
      </c>
      <c r="D29" s="27" t="n">
        <f aca="false">IF('TEa input'!T7="","",'TEa input'!T7)</f>
        <v>20</v>
      </c>
      <c r="E29" s="28" t="n">
        <f aca="false">IF(D29="","",MIN(Sigma!AI8:AI9))</f>
        <v>10.4487651077246</v>
      </c>
    </row>
    <row r="30" customFormat="false" ht="15" hidden="false" customHeight="true" outlineLevel="0" collapsed="false">
      <c r="A30" s="9" t="s">
        <v>60</v>
      </c>
      <c r="B30" s="11" t="s">
        <v>52</v>
      </c>
      <c r="C30" s="11" t="s">
        <v>320</v>
      </c>
      <c r="D30" s="27" t="n">
        <f aca="false">IF('TEa input'!Y7="","",'TEa input'!Y7)</f>
        <v>3.90130205147769</v>
      </c>
      <c r="E30" s="28" t="n">
        <f aca="false">IF(D30="","",MIN(Sigma!AJ8:AJ9))</f>
        <v>1.98912351627834</v>
      </c>
    </row>
    <row r="31" customFormat="false" ht="15" hidden="false" customHeight="true" outlineLevel="0" collapsed="false">
      <c r="A31" s="9" t="s">
        <v>60</v>
      </c>
      <c r="B31" s="11" t="s">
        <v>52</v>
      </c>
      <c r="C31" s="11" t="s">
        <v>321</v>
      </c>
      <c r="D31" s="27" t="n">
        <f aca="false">IF('TEa input'!Z7="","",'TEa input'!Z7)</f>
        <v>7.80260410295537</v>
      </c>
      <c r="E31" s="28" t="n">
        <f aca="false">IF(D31="","",MIN(Sigma!AK8:AK9))</f>
        <v>4.03920341721249</v>
      </c>
    </row>
    <row r="32" customFormat="false" ht="15" hidden="false" customHeight="true" outlineLevel="0" collapsed="false">
      <c r="A32" s="9" t="s">
        <v>60</v>
      </c>
      <c r="B32" s="11" t="s">
        <v>52</v>
      </c>
      <c r="C32" s="11" t="s">
        <v>322</v>
      </c>
      <c r="D32" s="27" t="n">
        <f aca="false">IF('TEa input'!AA7="","",'TEa input'!AA7)</f>
        <v>11.7039061544331</v>
      </c>
      <c r="E32" s="28" t="n">
        <f aca="false">IF(D32="","",MIN(Sigma!AL8:AL9))</f>
        <v>6.08928331814664</v>
      </c>
    </row>
    <row r="33" customFormat="false" ht="15" hidden="false" customHeight="true" outlineLevel="0" collapsed="false">
      <c r="A33" s="9" t="s">
        <v>60</v>
      </c>
      <c r="B33" s="11" t="s">
        <v>52</v>
      </c>
      <c r="C33" s="11" t="s">
        <v>323</v>
      </c>
      <c r="D33" s="27" t="str">
        <f aca="false">IF('TEa input'!AB7="","",'TEa input'!AB7)</f>
        <v/>
      </c>
      <c r="E33" s="28" t="str">
        <f aca="false">IF(D33="","",MIN(Sigma!AM8:AM9))</f>
        <v/>
      </c>
    </row>
    <row r="34" customFormat="false" ht="15" hidden="false" customHeight="true" outlineLevel="0" collapsed="false">
      <c r="A34" s="9" t="s">
        <v>60</v>
      </c>
      <c r="B34" s="11" t="s">
        <v>52</v>
      </c>
      <c r="C34" s="11" t="s">
        <v>324</v>
      </c>
      <c r="D34" s="27" t="n">
        <f aca="false">IF('TEa input'!AC7="","",'TEa input'!AC7)</f>
        <v>8.87</v>
      </c>
      <c r="E34" s="28" t="n">
        <f aca="false">IF(D34="","",MIN(Sigma!AN8:AN9))</f>
        <v>4.60010509721492</v>
      </c>
    </row>
    <row r="35" customFormat="false" ht="15" hidden="false" customHeight="true" outlineLevel="0" collapsed="false">
      <c r="A35" s="9" t="s">
        <v>60</v>
      </c>
      <c r="B35" s="11" t="s">
        <v>52</v>
      </c>
      <c r="C35" s="11" t="s">
        <v>325</v>
      </c>
      <c r="D35" s="27" t="str">
        <f aca="false">IF('TEa input'!AD7="","",'TEa input'!AD7)</f>
        <v/>
      </c>
      <c r="E35" s="28" t="str">
        <f aca="false">IF(D35="","",MIN(Sigma!AO8:AO9))</f>
        <v/>
      </c>
    </row>
    <row r="36" customFormat="false" ht="15" hidden="false" customHeight="true" outlineLevel="0" collapsed="false">
      <c r="A36" s="9" t="s">
        <v>60</v>
      </c>
      <c r="B36" s="11" t="s">
        <v>52</v>
      </c>
      <c r="C36" s="29" t="str">
        <f aca="false">IF('TEa input'!AE7="","Other",'TEa input'!AE7)</f>
        <v>Other</v>
      </c>
      <c r="D36" s="27" t="str">
        <f aca="false">IF('TEa input'!AF7="","",'TEa input'!AF7)</f>
        <v/>
      </c>
      <c r="E36" s="28" t="str">
        <f aca="false">IF(D36="","",MIN(Sigma!AP8:AP9))</f>
        <v/>
      </c>
    </row>
    <row r="37" customFormat="false" ht="15" hidden="false" customHeight="true" outlineLevel="0" collapsed="false">
      <c r="A37" s="9" t="s">
        <v>68</v>
      </c>
      <c r="B37" s="11" t="s">
        <v>52</v>
      </c>
      <c r="C37" s="11" t="s">
        <v>26</v>
      </c>
      <c r="D37" s="27" t="n">
        <f aca="false">IF('TEa input'!E8="","",'TEa input'!E8)</f>
        <v>12</v>
      </c>
      <c r="E37" s="28" t="n">
        <f aca="false">IF(D37="","",MIN(Sigma!AA10:AA11))</f>
        <v>4.52371218315617</v>
      </c>
    </row>
    <row r="38" customFormat="false" ht="15" hidden="false" customHeight="true" outlineLevel="0" collapsed="false">
      <c r="A38" s="9" t="s">
        <v>68</v>
      </c>
      <c r="B38" s="11" t="s">
        <v>52</v>
      </c>
      <c r="C38" s="11" t="s">
        <v>27</v>
      </c>
      <c r="D38" s="27" t="n">
        <f aca="false">IF('TEa input'!G8="","",'TEa input'!G8)</f>
        <v>15</v>
      </c>
      <c r="E38" s="28" t="n">
        <f aca="false">IF(D38="","",MIN(Sigma!AB10:AB11))</f>
        <v>5.75020441537204</v>
      </c>
    </row>
    <row r="39" customFormat="false" ht="15" hidden="false" customHeight="true" outlineLevel="0" collapsed="false">
      <c r="A39" s="9" t="s">
        <v>68</v>
      </c>
      <c r="B39" s="11" t="s">
        <v>52</v>
      </c>
      <c r="C39" s="11" t="s">
        <v>28</v>
      </c>
      <c r="D39" s="27" t="n">
        <f aca="false">IF('TEa input'!I8="","",'TEa input'!I8)</f>
        <v>11.5</v>
      </c>
      <c r="E39" s="28" t="n">
        <f aca="false">IF(D39="","",MIN(Sigma!AC10:AC11))</f>
        <v>4.3192968111202</v>
      </c>
    </row>
    <row r="40" customFormat="false" ht="15" hidden="false" customHeight="true" outlineLevel="0" collapsed="false">
      <c r="A40" s="9" t="s">
        <v>68</v>
      </c>
      <c r="B40" s="11" t="s">
        <v>52</v>
      </c>
      <c r="C40" s="11" t="s">
        <v>29</v>
      </c>
      <c r="D40" s="27" t="str">
        <f aca="false">IF('TEa input'!K8="","",'TEa input'!K8)</f>
        <v/>
      </c>
      <c r="E40" s="28" t="str">
        <f aca="false">IF(D40="","",MIN(Sigma!AD10:AD11))</f>
        <v/>
      </c>
    </row>
    <row r="41" customFormat="false" ht="15" hidden="false" customHeight="true" outlineLevel="0" collapsed="false">
      <c r="A41" s="9" t="s">
        <v>68</v>
      </c>
      <c r="B41" s="11" t="s">
        <v>52</v>
      </c>
      <c r="C41" s="11" t="s">
        <v>30</v>
      </c>
      <c r="D41" s="27" t="n">
        <f aca="false">IF('TEa input'!M8="","",'TEa input'!M8)</f>
        <v>12</v>
      </c>
      <c r="E41" s="28" t="n">
        <f aca="false">IF(D41="","",MIN(Sigma!AE10:AE11))</f>
        <v>4.52371218315617</v>
      </c>
    </row>
    <row r="42" customFormat="false" ht="15" hidden="false" customHeight="true" outlineLevel="0" collapsed="false">
      <c r="A42" s="9" t="s">
        <v>68</v>
      </c>
      <c r="B42" s="11" t="s">
        <v>52</v>
      </c>
      <c r="C42" s="11" t="s">
        <v>31</v>
      </c>
      <c r="D42" s="27" t="n">
        <f aca="false">IF('TEa input'!O8="","",'TEa input'!O8)</f>
        <v>15</v>
      </c>
      <c r="E42" s="28" t="n">
        <f aca="false">IF(D42="","",MIN(Sigma!AF10:AF11))</f>
        <v>5.75020441537204</v>
      </c>
    </row>
    <row r="43" customFormat="false" ht="15" hidden="false" customHeight="true" outlineLevel="0" collapsed="false">
      <c r="A43" s="9" t="s">
        <v>68</v>
      </c>
      <c r="B43" s="11" t="s">
        <v>52</v>
      </c>
      <c r="C43" s="11" t="s">
        <v>32</v>
      </c>
      <c r="D43" s="27" t="n">
        <f aca="false">IF('TEa input'!Q8="","",'TEa input'!Q8)</f>
        <v>15</v>
      </c>
      <c r="E43" s="28" t="n">
        <f aca="false">IF(D43="","",MIN(Sigma!AG10:AG11))</f>
        <v>5.75020441537204</v>
      </c>
    </row>
    <row r="44" customFormat="false" ht="15" hidden="false" customHeight="true" outlineLevel="0" collapsed="false">
      <c r="A44" s="9" t="s">
        <v>68</v>
      </c>
      <c r="B44" s="11" t="s">
        <v>52</v>
      </c>
      <c r="C44" s="11" t="s">
        <v>33</v>
      </c>
      <c r="D44" s="27" t="n">
        <f aca="false">IF('TEa input'!R8="","",'TEa input'!R8)</f>
        <v>13.3</v>
      </c>
      <c r="E44" s="28" t="n">
        <f aca="false">IF(D44="","",MIN(Sigma!AH10:AH11))</f>
        <v>5.05519215044971</v>
      </c>
    </row>
    <row r="45" customFormat="false" ht="15" hidden="false" customHeight="true" outlineLevel="0" collapsed="false">
      <c r="A45" s="9" t="s">
        <v>68</v>
      </c>
      <c r="B45" s="11" t="s">
        <v>52</v>
      </c>
      <c r="C45" s="11" t="s">
        <v>34</v>
      </c>
      <c r="D45" s="27" t="n">
        <f aca="false">IF('TEa input'!T8="","",'TEa input'!T8)</f>
        <v>20</v>
      </c>
      <c r="E45" s="28" t="n">
        <f aca="false">IF(D45="","",MIN(Sigma!AI10:AI11))</f>
        <v>7.79435813573181</v>
      </c>
    </row>
    <row r="46" customFormat="false" ht="15" hidden="false" customHeight="true" outlineLevel="0" collapsed="false">
      <c r="A46" s="9" t="s">
        <v>68</v>
      </c>
      <c r="B46" s="11" t="s">
        <v>52</v>
      </c>
      <c r="C46" s="11" t="s">
        <v>320</v>
      </c>
      <c r="D46" s="27" t="n">
        <f aca="false">IF('TEa input'!Y8="","",'TEa input'!Y8)</f>
        <v>9.1496158429273</v>
      </c>
      <c r="E46" s="28" t="n">
        <f aca="false">IF(D46="","",MIN(Sigma!AJ10:AJ11))</f>
        <v>3.35838750732923</v>
      </c>
    </row>
    <row r="47" customFormat="false" ht="15" hidden="false" customHeight="true" outlineLevel="0" collapsed="false">
      <c r="A47" s="9" t="s">
        <v>68</v>
      </c>
      <c r="B47" s="11" t="s">
        <v>52</v>
      </c>
      <c r="C47" s="11" t="s">
        <v>321</v>
      </c>
      <c r="D47" s="27" t="n">
        <f aca="false">IF('TEa input'!Z8="","",'TEa input'!Z8)</f>
        <v>18.2992316858546</v>
      </c>
      <c r="E47" s="28" t="n">
        <f aca="false">IF(D47="","",MIN(Sigma!AK10:AK11))</f>
        <v>7.09903176036574</v>
      </c>
    </row>
    <row r="48" customFormat="false" ht="15" hidden="false" customHeight="true" outlineLevel="0" collapsed="false">
      <c r="A48" s="9" t="s">
        <v>68</v>
      </c>
      <c r="B48" s="11" t="s">
        <v>52</v>
      </c>
      <c r="C48" s="11" t="s">
        <v>322</v>
      </c>
      <c r="D48" s="27" t="n">
        <f aca="false">IF('TEa input'!AA8="","",'TEa input'!AA8)</f>
        <v>27.4488475287819</v>
      </c>
      <c r="E48" s="28" t="n">
        <f aca="false">IF(D48="","",MIN(Sigma!AL10:AL11))</f>
        <v>10.8396760134023</v>
      </c>
    </row>
    <row r="49" customFormat="false" ht="15" hidden="false" customHeight="true" outlineLevel="0" collapsed="false">
      <c r="A49" s="9" t="s">
        <v>68</v>
      </c>
      <c r="B49" s="11" t="s">
        <v>52</v>
      </c>
      <c r="C49" s="11" t="s">
        <v>323</v>
      </c>
      <c r="D49" s="27" t="str">
        <f aca="false">IF('TEa input'!AB8="","",'TEa input'!AB8)</f>
        <v/>
      </c>
      <c r="E49" s="28" t="str">
        <f aca="false">IF(D49="","",MIN(Sigma!AM10:AM11))</f>
        <v/>
      </c>
    </row>
    <row r="50" customFormat="false" ht="15" hidden="false" customHeight="true" outlineLevel="0" collapsed="false">
      <c r="A50" s="9" t="s">
        <v>68</v>
      </c>
      <c r="B50" s="11" t="s">
        <v>52</v>
      </c>
      <c r="C50" s="11" t="s">
        <v>324</v>
      </c>
      <c r="D50" s="27" t="n">
        <f aca="false">IF('TEa input'!AC8="","",'TEa input'!AC8)</f>
        <v>27.48</v>
      </c>
      <c r="E50" s="28" t="n">
        <f aca="false">IF(D50="","",MIN(Sigma!AN10:AN11))</f>
        <v>10.85241210139</v>
      </c>
    </row>
    <row r="51" customFormat="false" ht="15" hidden="false" customHeight="true" outlineLevel="0" collapsed="false">
      <c r="A51" s="9" t="s">
        <v>68</v>
      </c>
      <c r="B51" s="11" t="s">
        <v>52</v>
      </c>
      <c r="C51" s="11" t="s">
        <v>325</v>
      </c>
      <c r="D51" s="27" t="str">
        <f aca="false">IF('TEa input'!AD8="","",'TEa input'!AD8)</f>
        <v/>
      </c>
      <c r="E51" s="28" t="str">
        <f aca="false">IF(D51="","",MIN(Sigma!AO10:AO11))</f>
        <v/>
      </c>
    </row>
    <row r="52" customFormat="false" ht="15" hidden="false" customHeight="true" outlineLevel="0" collapsed="false">
      <c r="A52" s="9" t="s">
        <v>68</v>
      </c>
      <c r="B52" s="11" t="s">
        <v>52</v>
      </c>
      <c r="C52" s="29" t="str">
        <f aca="false">IF('TEa input'!AE8="","Other",'TEa input'!AE8)</f>
        <v>Other</v>
      </c>
      <c r="D52" s="27" t="str">
        <f aca="false">IF('TEa input'!AF8="","",'TEa input'!AF8)</f>
        <v/>
      </c>
      <c r="E52" s="28" t="str">
        <f aca="false">IF(D52="","",MIN(Sigma!AP10:AP11))</f>
        <v/>
      </c>
    </row>
    <row r="53" customFormat="false" ht="15" hidden="false" customHeight="true" outlineLevel="0" collapsed="false">
      <c r="A53" s="9" t="s">
        <v>75</v>
      </c>
      <c r="B53" s="11" t="s">
        <v>52</v>
      </c>
      <c r="C53" s="11" t="s">
        <v>26</v>
      </c>
      <c r="D53" s="27" t="n">
        <f aca="false">IF('TEa input'!E9="","",'TEa input'!E9)</f>
        <v>6</v>
      </c>
      <c r="E53" s="28" t="n">
        <f aca="false">IF(D53="","",MIN(Sigma!AA12:AA13))</f>
        <v>2.85817805383023</v>
      </c>
    </row>
    <row r="54" customFormat="false" ht="15" hidden="false" customHeight="true" outlineLevel="0" collapsed="false">
      <c r="A54" s="9" t="s">
        <v>75</v>
      </c>
      <c r="B54" s="11" t="s">
        <v>52</v>
      </c>
      <c r="C54" s="11" t="s">
        <v>27</v>
      </c>
      <c r="D54" s="27" t="n">
        <f aca="false">IF('TEa input'!G9="","",'TEa input'!G9)</f>
        <v>8</v>
      </c>
      <c r="E54" s="28" t="n">
        <f aca="false">IF(D54="","",MIN(Sigma!AB12:AB13))</f>
        <v>3.89337474120083</v>
      </c>
    </row>
    <row r="55" customFormat="false" ht="15" hidden="false" customHeight="true" outlineLevel="0" collapsed="false">
      <c r="A55" s="9" t="s">
        <v>75</v>
      </c>
      <c r="B55" s="11" t="s">
        <v>52</v>
      </c>
      <c r="C55" s="11" t="s">
        <v>28</v>
      </c>
      <c r="D55" s="27" t="n">
        <f aca="false">IF('TEa input'!I9="","",'TEa input'!I9)</f>
        <v>5</v>
      </c>
      <c r="E55" s="28" t="n">
        <f aca="false">IF(D55="","",MIN(Sigma!AC12:AC13))</f>
        <v>2.34057971014493</v>
      </c>
    </row>
    <row r="56" customFormat="false" ht="15" hidden="false" customHeight="true" outlineLevel="0" collapsed="false">
      <c r="A56" s="9" t="s">
        <v>75</v>
      </c>
      <c r="B56" s="11" t="s">
        <v>52</v>
      </c>
      <c r="C56" s="11" t="s">
        <v>29</v>
      </c>
      <c r="D56" s="27" t="str">
        <f aca="false">IF('TEa input'!K9="","",'TEa input'!K9)</f>
        <v/>
      </c>
      <c r="E56" s="28" t="str">
        <f aca="false">IF(D56="","",MIN(Sigma!AD12:AD13))</f>
        <v/>
      </c>
    </row>
    <row r="57" customFormat="false" ht="15" hidden="false" customHeight="true" outlineLevel="0" collapsed="false">
      <c r="A57" s="9" t="s">
        <v>75</v>
      </c>
      <c r="B57" s="11" t="s">
        <v>52</v>
      </c>
      <c r="C57" s="11" t="s">
        <v>30</v>
      </c>
      <c r="D57" s="27" t="n">
        <f aca="false">IF('TEa input'!M9="","",'TEa input'!M9)</f>
        <v>8</v>
      </c>
      <c r="E57" s="28" t="n">
        <f aca="false">IF(D57="","",MIN(Sigma!AE12:AE13))</f>
        <v>3.89337474120083</v>
      </c>
    </row>
    <row r="58" customFormat="false" ht="15" hidden="false" customHeight="true" outlineLevel="0" collapsed="false">
      <c r="A58" s="9" t="s">
        <v>75</v>
      </c>
      <c r="B58" s="11" t="s">
        <v>52</v>
      </c>
      <c r="C58" s="11" t="s">
        <v>31</v>
      </c>
      <c r="D58" s="27" t="n">
        <f aca="false">IF('TEa input'!O9="","",'TEa input'!O9)</f>
        <v>7</v>
      </c>
      <c r="E58" s="28" t="n">
        <f aca="false">IF(D58="","",MIN(Sigma!AF12:AF13))</f>
        <v>3.37577639751553</v>
      </c>
    </row>
    <row r="59" customFormat="false" ht="15" hidden="false" customHeight="true" outlineLevel="0" collapsed="false">
      <c r="A59" s="9" t="s">
        <v>75</v>
      </c>
      <c r="B59" s="11" t="s">
        <v>52</v>
      </c>
      <c r="C59" s="11" t="s">
        <v>32</v>
      </c>
      <c r="D59" s="27" t="n">
        <f aca="false">IF('TEa input'!Q9="","",'TEa input'!Q9)</f>
        <v>9</v>
      </c>
      <c r="E59" s="28" t="n">
        <f aca="false">IF(D59="","",MIN(Sigma!AG12:AG13))</f>
        <v>4.41097308488613</v>
      </c>
    </row>
    <row r="60" customFormat="false" ht="15" hidden="false" customHeight="true" outlineLevel="0" collapsed="false">
      <c r="A60" s="9" t="s">
        <v>75</v>
      </c>
      <c r="B60" s="11" t="s">
        <v>52</v>
      </c>
      <c r="C60" s="11" t="s">
        <v>33</v>
      </c>
      <c r="D60" s="27" t="n">
        <f aca="false">IF('TEa input'!R9="","",'TEa input'!R9)</f>
        <v>6.3</v>
      </c>
      <c r="E60" s="28" t="n">
        <f aca="false">IF(D60="","",MIN(Sigma!AH12:AH13))</f>
        <v>3.01345755693582</v>
      </c>
    </row>
    <row r="61" customFormat="false" ht="15" hidden="false" customHeight="true" outlineLevel="0" collapsed="false">
      <c r="A61" s="9" t="s">
        <v>75</v>
      </c>
      <c r="B61" s="11" t="s">
        <v>52</v>
      </c>
      <c r="C61" s="11" t="s">
        <v>34</v>
      </c>
      <c r="D61" s="27" t="n">
        <f aca="false">IF('TEa input'!T9="","",'TEa input'!T9)</f>
        <v>10</v>
      </c>
      <c r="E61" s="28" t="n">
        <f aca="false">IF(D61="","",MIN(Sigma!AI12:AI13))</f>
        <v>4.92857142857143</v>
      </c>
    </row>
    <row r="62" customFormat="false" ht="15" hidden="false" customHeight="true" outlineLevel="0" collapsed="false">
      <c r="A62" s="9" t="s">
        <v>75</v>
      </c>
      <c r="B62" s="11" t="s">
        <v>52</v>
      </c>
      <c r="C62" s="11" t="s">
        <v>320</v>
      </c>
      <c r="D62" s="27" t="n">
        <f aca="false">IF('TEa input'!Y9="","",'TEa input'!Y9)</f>
        <v>3.20459800460389</v>
      </c>
      <c r="E62" s="28" t="n">
        <f aca="false">IF(D62="","",MIN(Sigma!AJ12:AJ13))</f>
        <v>1.41128261107862</v>
      </c>
    </row>
    <row r="63" customFormat="false" ht="15" hidden="false" customHeight="true" outlineLevel="0" collapsed="false">
      <c r="A63" s="9" t="s">
        <v>75</v>
      </c>
      <c r="B63" s="11" t="s">
        <v>52</v>
      </c>
      <c r="C63" s="11" t="s">
        <v>321</v>
      </c>
      <c r="D63" s="27" t="n">
        <f aca="false">IF('TEa input'!Z9="","",'TEa input'!Z9)</f>
        <v>6.40919600920777</v>
      </c>
      <c r="E63" s="28" t="n">
        <f aca="false">IF(D63="","",MIN(Sigma!AK12:AK13))</f>
        <v>3.06997723043881</v>
      </c>
    </row>
    <row r="64" customFormat="false" ht="15" hidden="false" customHeight="true" outlineLevel="0" collapsed="false">
      <c r="A64" s="9" t="s">
        <v>75</v>
      </c>
      <c r="B64" s="11" t="s">
        <v>52</v>
      </c>
      <c r="C64" s="11" t="s">
        <v>322</v>
      </c>
      <c r="D64" s="27" t="n">
        <f aca="false">IF('TEa input'!AA9="","",'TEa input'!AA9)</f>
        <v>9.61379401381166</v>
      </c>
      <c r="E64" s="28" t="n">
        <f aca="false">IF(D64="","",MIN(Sigma!AL12:AL13))</f>
        <v>4.728671849799</v>
      </c>
    </row>
    <row r="65" customFormat="false" ht="15" hidden="false" customHeight="true" outlineLevel="0" collapsed="false">
      <c r="A65" s="9" t="s">
        <v>75</v>
      </c>
      <c r="B65" s="11" t="s">
        <v>52</v>
      </c>
      <c r="C65" s="11" t="s">
        <v>323</v>
      </c>
      <c r="D65" s="27" t="str">
        <f aca="false">IF('TEa input'!AB9="","",'TEa input'!AB9)</f>
        <v/>
      </c>
      <c r="E65" s="28" t="str">
        <f aca="false">IF(D65="","",MIN(Sigma!AM12:AM13))</f>
        <v/>
      </c>
    </row>
    <row r="66" customFormat="false" ht="15" hidden="false" customHeight="true" outlineLevel="0" collapsed="false">
      <c r="A66" s="9" t="s">
        <v>75</v>
      </c>
      <c r="B66" s="11" t="s">
        <v>52</v>
      </c>
      <c r="C66" s="11" t="s">
        <v>324</v>
      </c>
      <c r="D66" s="27" t="n">
        <f aca="false">IF('TEa input'!AC9="","",'TEa input'!AC9)</f>
        <v>6.96</v>
      </c>
      <c r="E66" s="28" t="n">
        <f aca="false">IF(D66="","",MIN(Sigma!AN12:AN13))</f>
        <v>3.35507246376812</v>
      </c>
    </row>
    <row r="67" customFormat="false" ht="15" hidden="false" customHeight="true" outlineLevel="0" collapsed="false">
      <c r="A67" s="9" t="s">
        <v>75</v>
      </c>
      <c r="B67" s="11" t="s">
        <v>52</v>
      </c>
      <c r="C67" s="11" t="s">
        <v>325</v>
      </c>
      <c r="D67" s="27" t="str">
        <f aca="false">IF('TEa input'!AD9="","",'TEa input'!AD9)</f>
        <v/>
      </c>
      <c r="E67" s="28" t="str">
        <f aca="false">IF(D67="","",MIN(Sigma!AO12:AO13))</f>
        <v/>
      </c>
    </row>
    <row r="68" customFormat="false" ht="15" hidden="false" customHeight="true" outlineLevel="0" collapsed="false">
      <c r="A68" s="9" t="s">
        <v>75</v>
      </c>
      <c r="B68" s="11" t="s">
        <v>52</v>
      </c>
      <c r="C68" s="29" t="str">
        <f aca="false">IF('TEa input'!AE9="","Other",'TEa input'!AE9)</f>
        <v>Other</v>
      </c>
      <c r="D68" s="27" t="str">
        <f aca="false">IF('TEa input'!AF9="","",'TEa input'!AF9)</f>
        <v/>
      </c>
      <c r="E68" s="28" t="str">
        <f aca="false">IF(D68="","",MIN(Sigma!AP12:AP13))</f>
        <v/>
      </c>
    </row>
    <row r="69" customFormat="false" ht="15" hidden="false" customHeight="true" outlineLevel="0" collapsed="false">
      <c r="A69" s="9" t="s">
        <v>81</v>
      </c>
      <c r="B69" s="11" t="s">
        <v>52</v>
      </c>
      <c r="C69" s="11" t="s">
        <v>26</v>
      </c>
      <c r="D69" s="27" t="n">
        <f aca="false">IF('TEa input'!E10="","",'TEa input'!E10)</f>
        <v>3</v>
      </c>
      <c r="E69" s="28" t="n">
        <f aca="false">IF(D69="","",MIN(Sigma!AA14:AA15))</f>
        <v>1.95798319327731</v>
      </c>
    </row>
    <row r="70" customFormat="false" ht="15" hidden="false" customHeight="true" outlineLevel="0" collapsed="false">
      <c r="A70" s="9" t="s">
        <v>81</v>
      </c>
      <c r="B70" s="11" t="s">
        <v>52</v>
      </c>
      <c r="C70" s="11" t="s">
        <v>27</v>
      </c>
      <c r="D70" s="27" t="str">
        <f aca="false">IF('TEa input'!G10="","",'TEa input'!G10)</f>
        <v/>
      </c>
      <c r="E70" s="28" t="str">
        <f aca="false">IF(D70="","",MIN(Sigma!AB14:AB15))</f>
        <v/>
      </c>
    </row>
    <row r="71" customFormat="false" ht="15" hidden="false" customHeight="true" outlineLevel="0" collapsed="false">
      <c r="A71" s="9" t="s">
        <v>81</v>
      </c>
      <c r="B71" s="11" t="s">
        <v>52</v>
      </c>
      <c r="C71" s="11" t="s">
        <v>28</v>
      </c>
      <c r="D71" s="27" t="n">
        <f aca="false">IF('TEa input'!I10="","",'TEa input'!I10)</f>
        <v>6</v>
      </c>
      <c r="E71" s="28" t="n">
        <f aca="false">IF(D71="","",MIN(Sigma!AC14:AC15))</f>
        <v>4.47899159663866</v>
      </c>
    </row>
    <row r="72" customFormat="false" ht="15" hidden="false" customHeight="true" outlineLevel="0" collapsed="false">
      <c r="A72" s="9" t="s">
        <v>81</v>
      </c>
      <c r="B72" s="11" t="s">
        <v>52</v>
      </c>
      <c r="C72" s="11" t="s">
        <v>29</v>
      </c>
      <c r="D72" s="27" t="str">
        <f aca="false">IF('TEa input'!K10="","",'TEa input'!K10)</f>
        <v/>
      </c>
      <c r="E72" s="28" t="str">
        <f aca="false">IF(D72="","",MIN(Sigma!AD14:AD15))</f>
        <v/>
      </c>
    </row>
    <row r="73" customFormat="false" ht="15" hidden="false" customHeight="true" outlineLevel="0" collapsed="false">
      <c r="A73" s="9" t="s">
        <v>81</v>
      </c>
      <c r="B73" s="11" t="s">
        <v>52</v>
      </c>
      <c r="C73" s="11" t="s">
        <v>30</v>
      </c>
      <c r="D73" s="27" t="n">
        <f aca="false">IF('TEa input'!M10="","",'TEa input'!M10)</f>
        <v>4</v>
      </c>
      <c r="E73" s="28" t="n">
        <f aca="false">IF(D73="","",MIN(Sigma!AE14:AE15))</f>
        <v>2.79831932773109</v>
      </c>
    </row>
    <row r="74" customFormat="false" ht="15" hidden="false" customHeight="true" outlineLevel="0" collapsed="false">
      <c r="A74" s="9" t="s">
        <v>81</v>
      </c>
      <c r="B74" s="11" t="s">
        <v>52</v>
      </c>
      <c r="C74" s="11" t="s">
        <v>31</v>
      </c>
      <c r="D74" s="27" t="n">
        <f aca="false">IF('TEa input'!O10="","",'TEa input'!O10)</f>
        <v>5</v>
      </c>
      <c r="E74" s="28" t="n">
        <f aca="false">IF(D74="","",MIN(Sigma!AF14:AF15))</f>
        <v>3.63865546218487</v>
      </c>
    </row>
    <row r="75" customFormat="false" ht="15" hidden="false" customHeight="true" outlineLevel="0" collapsed="false">
      <c r="A75" s="9" t="s">
        <v>81</v>
      </c>
      <c r="B75" s="11" t="s">
        <v>52</v>
      </c>
      <c r="C75" s="11" t="s">
        <v>32</v>
      </c>
      <c r="D75" s="27" t="n">
        <f aca="false">IF('TEa input'!Q10="","",'TEa input'!Q10)</f>
        <v>10</v>
      </c>
      <c r="E75" s="28" t="n">
        <f aca="false">IF(D75="","",MIN(Sigma!AG14:AG15))</f>
        <v>7.84033613445378</v>
      </c>
    </row>
    <row r="76" customFormat="false" ht="15" hidden="false" customHeight="true" outlineLevel="0" collapsed="false">
      <c r="A76" s="9" t="s">
        <v>81</v>
      </c>
      <c r="B76" s="11" t="s">
        <v>52</v>
      </c>
      <c r="C76" s="11" t="s">
        <v>33</v>
      </c>
      <c r="D76" s="27" t="n">
        <f aca="false">IF('TEa input'!R10="","",'TEa input'!R10)</f>
        <v>5</v>
      </c>
      <c r="E76" s="28" t="n">
        <f aca="false">IF(D76="","",MIN(Sigma!AH14:AH15))</f>
        <v>3.63865546218487</v>
      </c>
    </row>
    <row r="77" customFormat="false" ht="15" hidden="false" customHeight="true" outlineLevel="0" collapsed="false">
      <c r="A77" s="9" t="s">
        <v>81</v>
      </c>
      <c r="B77" s="11" t="s">
        <v>52</v>
      </c>
      <c r="C77" s="11" t="s">
        <v>34</v>
      </c>
      <c r="D77" s="27" t="n">
        <f aca="false">IF('TEa input'!T10="","",'TEa input'!T10)</f>
        <v>10</v>
      </c>
      <c r="E77" s="28" t="n">
        <f aca="false">IF(D77="","",MIN(Sigma!AI14:AI15))</f>
        <v>7.84033613445378</v>
      </c>
    </row>
    <row r="78" customFormat="false" ht="15" hidden="false" customHeight="true" outlineLevel="0" collapsed="false">
      <c r="A78" s="9" t="s">
        <v>81</v>
      </c>
      <c r="B78" s="11" t="s">
        <v>52</v>
      </c>
      <c r="C78" s="11" t="s">
        <v>320</v>
      </c>
      <c r="D78" s="27" t="n">
        <f aca="false">IF('TEa input'!Y10="","",'TEa input'!Y10)</f>
        <v>1.1481245184897</v>
      </c>
      <c r="E78" s="28" t="n">
        <f aca="false">IF(D78="","",MIN(Sigma!AJ14:AJ15))</f>
        <v>0.401785309655209</v>
      </c>
    </row>
    <row r="79" customFormat="false" ht="15" hidden="false" customHeight="true" outlineLevel="0" collapsed="false">
      <c r="A79" s="9" t="s">
        <v>81</v>
      </c>
      <c r="B79" s="11" t="s">
        <v>52</v>
      </c>
      <c r="C79" s="11" t="s">
        <v>321</v>
      </c>
      <c r="D79" s="27" t="n">
        <f aca="false">IF('TEa input'!Z10="","",'TEa input'!Z10)</f>
        <v>2.2962490369794</v>
      </c>
      <c r="E79" s="28" t="n">
        <f aca="false">IF(D79="","",MIN(Sigma!AK14:AK15))</f>
        <v>1.36659582939445</v>
      </c>
    </row>
    <row r="80" customFormat="false" ht="15" hidden="false" customHeight="true" outlineLevel="0" collapsed="false">
      <c r="A80" s="9" t="s">
        <v>81</v>
      </c>
      <c r="B80" s="11" t="s">
        <v>52</v>
      </c>
      <c r="C80" s="11" t="s">
        <v>322</v>
      </c>
      <c r="D80" s="27" t="n">
        <f aca="false">IF('TEa input'!AA10="","",'TEa input'!AA10)</f>
        <v>3.4443735554691</v>
      </c>
      <c r="E80" s="28" t="n">
        <f aca="false">IF(D80="","",MIN(Sigma!AL14:AL15))</f>
        <v>2.33140634913369</v>
      </c>
    </row>
    <row r="81" customFormat="false" ht="15" hidden="false" customHeight="true" outlineLevel="0" collapsed="false">
      <c r="A81" s="9" t="s">
        <v>81</v>
      </c>
      <c r="B81" s="11" t="s">
        <v>52</v>
      </c>
      <c r="C81" s="11" t="s">
        <v>323</v>
      </c>
      <c r="D81" s="27" t="str">
        <f aca="false">IF('TEa input'!AB10="","",'TEa input'!AB10)</f>
        <v/>
      </c>
      <c r="E81" s="28" t="str">
        <f aca="false">IF(D81="","",MIN(Sigma!AM14:AM15))</f>
        <v/>
      </c>
    </row>
    <row r="82" customFormat="false" ht="15" hidden="false" customHeight="true" outlineLevel="0" collapsed="false">
      <c r="A82" s="9" t="s">
        <v>81</v>
      </c>
      <c r="B82" s="11" t="s">
        <v>52</v>
      </c>
      <c r="C82" s="11" t="s">
        <v>324</v>
      </c>
      <c r="D82" s="27" t="n">
        <f aca="false">IF('TEa input'!AC10="","",'TEa input'!AC10)</f>
        <v>2.55</v>
      </c>
      <c r="E82" s="28" t="n">
        <f aca="false">IF(D82="","",MIN(Sigma!AN14:AN15))</f>
        <v>1.57983193277311</v>
      </c>
    </row>
    <row r="83" customFormat="false" ht="15" hidden="false" customHeight="true" outlineLevel="0" collapsed="false">
      <c r="A83" s="9" t="s">
        <v>81</v>
      </c>
      <c r="B83" s="11" t="s">
        <v>52</v>
      </c>
      <c r="C83" s="11" t="s">
        <v>325</v>
      </c>
      <c r="D83" s="27" t="str">
        <f aca="false">IF('TEa input'!AD10="","",'TEa input'!AD10)</f>
        <v/>
      </c>
      <c r="E83" s="28" t="str">
        <f aca="false">IF(D83="","",MIN(Sigma!AO14:AO15))</f>
        <v/>
      </c>
    </row>
    <row r="84" customFormat="false" ht="15" hidden="false" customHeight="true" outlineLevel="0" collapsed="false">
      <c r="A84" s="9" t="s">
        <v>81</v>
      </c>
      <c r="B84" s="11" t="s">
        <v>52</v>
      </c>
      <c r="C84" s="29" t="str">
        <f aca="false">IF('TEa input'!AE10="","Other",'TEa input'!AE10)</f>
        <v>Other</v>
      </c>
      <c r="D84" s="27" t="str">
        <f aca="false">IF('TEa input'!AF10="","",'TEa input'!AF10)</f>
        <v/>
      </c>
      <c r="E84" s="28" t="str">
        <f aca="false">IF(D84="","",MIN(Sigma!AP14:AP15))</f>
        <v/>
      </c>
    </row>
    <row r="85" customFormat="false" ht="15" hidden="false" customHeight="true" outlineLevel="0" collapsed="false">
      <c r="A85" s="9" t="s">
        <v>88</v>
      </c>
      <c r="B85" s="11" t="s">
        <v>52</v>
      </c>
      <c r="C85" s="11" t="s">
        <v>26</v>
      </c>
      <c r="D85" s="27" t="str">
        <f aca="false">IF('TEa input'!E11="","",'TEa input'!E11)</f>
        <v/>
      </c>
      <c r="E85" s="28" t="str">
        <f aca="false">IF(D85="","",MIN(Sigma!AA16:AA17))</f>
        <v/>
      </c>
    </row>
    <row r="86" customFormat="false" ht="15" hidden="false" customHeight="true" outlineLevel="0" collapsed="false">
      <c r="A86" s="9" t="s">
        <v>88</v>
      </c>
      <c r="B86" s="11" t="s">
        <v>52</v>
      </c>
      <c r="C86" s="11" t="s">
        <v>27</v>
      </c>
      <c r="D86" s="27" t="n">
        <f aca="false">IF('TEa input'!G11="","",'TEa input'!G11)</f>
        <v>20</v>
      </c>
      <c r="E86" s="28" t="n">
        <f aca="false">IF(D86="","",MIN(Sigma!AB16:AB17))</f>
        <v>7.76035743298132</v>
      </c>
    </row>
    <row r="87" customFormat="false" ht="15" hidden="false" customHeight="true" outlineLevel="0" collapsed="false">
      <c r="A87" s="9" t="s">
        <v>88</v>
      </c>
      <c r="B87" s="11" t="s">
        <v>52</v>
      </c>
      <c r="C87" s="11" t="s">
        <v>28</v>
      </c>
      <c r="D87" s="27" t="n">
        <f aca="false">IF('TEa input'!I11="","",'TEa input'!I11)</f>
        <v>13.5</v>
      </c>
      <c r="E87" s="28" t="n">
        <f aca="false">IF(D87="","",MIN(Sigma!AC16:AC17))</f>
        <v>5.12022745735175</v>
      </c>
    </row>
    <row r="88" customFormat="false" ht="15" hidden="false" customHeight="true" outlineLevel="0" collapsed="false">
      <c r="A88" s="9" t="s">
        <v>88</v>
      </c>
      <c r="B88" s="11" t="s">
        <v>52</v>
      </c>
      <c r="C88" s="11" t="s">
        <v>29</v>
      </c>
      <c r="D88" s="27" t="str">
        <f aca="false">IF('TEa input'!K11="","",'TEa input'!K11)</f>
        <v/>
      </c>
      <c r="E88" s="28" t="str">
        <f aca="false">IF(D88="","",MIN(Sigma!AD16:AD17))</f>
        <v/>
      </c>
    </row>
    <row r="89" customFormat="false" ht="15" hidden="false" customHeight="true" outlineLevel="0" collapsed="false">
      <c r="A89" s="9" t="s">
        <v>88</v>
      </c>
      <c r="B89" s="11" t="s">
        <v>52</v>
      </c>
      <c r="C89" s="11" t="s">
        <v>30</v>
      </c>
      <c r="D89" s="27" t="n">
        <f aca="false">IF('TEa input'!M11="","",'TEa input'!M11)</f>
        <v>20</v>
      </c>
      <c r="E89" s="28" t="n">
        <f aca="false">IF(D89="","",MIN(Sigma!AE16:AE17))</f>
        <v>7.76035743298132</v>
      </c>
    </row>
    <row r="90" customFormat="false" ht="15" hidden="false" customHeight="true" outlineLevel="0" collapsed="false">
      <c r="A90" s="9" t="s">
        <v>88</v>
      </c>
      <c r="B90" s="11" t="s">
        <v>52</v>
      </c>
      <c r="C90" s="11" t="s">
        <v>31</v>
      </c>
      <c r="D90" s="27" t="n">
        <f aca="false">IF('TEa input'!O11="","",'TEa input'!O11)</f>
        <v>20</v>
      </c>
      <c r="E90" s="28" t="n">
        <f aca="false">IF(D90="","",MIN(Sigma!AF16:AF17))</f>
        <v>7.76035743298132</v>
      </c>
    </row>
    <row r="91" customFormat="false" ht="15" hidden="false" customHeight="true" outlineLevel="0" collapsed="false">
      <c r="A91" s="9" t="s">
        <v>88</v>
      </c>
      <c r="B91" s="11" t="s">
        <v>52</v>
      </c>
      <c r="C91" s="11" t="s">
        <v>32</v>
      </c>
      <c r="D91" s="27" t="n">
        <f aca="false">IF('TEa input'!Q11="","",'TEa input'!Q11)</f>
        <v>14</v>
      </c>
      <c r="E91" s="28" t="n">
        <f aca="false">IF(D91="","",MIN(Sigma!AG16:AG17))</f>
        <v>5.32331437855402</v>
      </c>
    </row>
    <row r="92" customFormat="false" ht="15" hidden="false" customHeight="true" outlineLevel="0" collapsed="false">
      <c r="A92" s="9" t="s">
        <v>88</v>
      </c>
      <c r="B92" s="11" t="s">
        <v>52</v>
      </c>
      <c r="C92" s="11" t="s">
        <v>33</v>
      </c>
      <c r="D92" s="27" t="str">
        <f aca="false">IF('TEa input'!R11="","",'TEa input'!R11)</f>
        <v/>
      </c>
      <c r="E92" s="28" t="str">
        <f aca="false">IF(D92="","",MIN(Sigma!AH16:AH17))</f>
        <v/>
      </c>
    </row>
    <row r="93" customFormat="false" ht="15" hidden="false" customHeight="true" outlineLevel="0" collapsed="false">
      <c r="A93" s="9" t="s">
        <v>88</v>
      </c>
      <c r="B93" s="11" t="s">
        <v>52</v>
      </c>
      <c r="C93" s="11" t="s">
        <v>34</v>
      </c>
      <c r="D93" s="27" t="n">
        <f aca="false">IF('TEa input'!T11="","",'TEa input'!T11)</f>
        <v>25</v>
      </c>
      <c r="E93" s="28" t="n">
        <f aca="false">IF(D93="","",MIN(Sigma!AI16:AI17))</f>
        <v>9.79122664500406</v>
      </c>
    </row>
    <row r="94" customFormat="false" ht="15" hidden="false" customHeight="true" outlineLevel="0" collapsed="false">
      <c r="A94" s="9" t="s">
        <v>88</v>
      </c>
      <c r="B94" s="11" t="s">
        <v>52</v>
      </c>
      <c r="C94" s="11" t="s">
        <v>320</v>
      </c>
      <c r="D94" s="27" t="n">
        <f aca="false">IF('TEa input'!Y11="","",'TEa input'!Y11)</f>
        <v>12.4205210390686</v>
      </c>
      <c r="E94" s="28" t="n">
        <f aca="false">IF(D94="","",MIN(Sigma!AJ16:AJ17))</f>
        <v>4.68177133999536</v>
      </c>
    </row>
    <row r="95" customFormat="false" ht="15" hidden="false" customHeight="true" outlineLevel="0" collapsed="false">
      <c r="A95" s="9" t="s">
        <v>88</v>
      </c>
      <c r="B95" s="11" t="s">
        <v>52</v>
      </c>
      <c r="C95" s="11" t="s">
        <v>321</v>
      </c>
      <c r="D95" s="27" t="n">
        <f aca="false">IF('TEa input'!Z11="","",'TEa input'!Z11)</f>
        <v>24.8410420781372</v>
      </c>
      <c r="E95" s="28" t="n">
        <f aca="false">IF(D95="","",MIN(Sigma!AK16:AK17))</f>
        <v>9.72666209510039</v>
      </c>
    </row>
    <row r="96" customFormat="false" ht="15" hidden="false" customHeight="true" outlineLevel="0" collapsed="false">
      <c r="A96" s="9" t="s">
        <v>88</v>
      </c>
      <c r="B96" s="11" t="s">
        <v>52</v>
      </c>
      <c r="C96" s="11" t="s">
        <v>322</v>
      </c>
      <c r="D96" s="27" t="n">
        <f aca="false">IF('TEa input'!AA11="","",'TEa input'!AA11)</f>
        <v>37.2615631172057</v>
      </c>
      <c r="E96" s="28" t="n">
        <f aca="false">IF(D96="","",MIN(Sigma!AL16:AL17))</f>
        <v>14.7715528502054</v>
      </c>
    </row>
    <row r="97" customFormat="false" ht="15" hidden="false" customHeight="true" outlineLevel="0" collapsed="false">
      <c r="A97" s="9" t="s">
        <v>88</v>
      </c>
      <c r="B97" s="11" t="s">
        <v>52</v>
      </c>
      <c r="C97" s="11" t="s">
        <v>323</v>
      </c>
      <c r="D97" s="27" t="str">
        <f aca="false">IF('TEa input'!AB11="","",'TEa input'!AB11)</f>
        <v/>
      </c>
      <c r="E97" s="28" t="str">
        <f aca="false">IF(D97="","",MIN(Sigma!AM16:AM17))</f>
        <v/>
      </c>
    </row>
    <row r="98" customFormat="false" ht="15" hidden="false" customHeight="true" outlineLevel="0" collapsed="false">
      <c r="A98" s="9" t="s">
        <v>88</v>
      </c>
      <c r="B98" s="11" t="s">
        <v>52</v>
      </c>
      <c r="C98" s="11" t="s">
        <v>324</v>
      </c>
      <c r="D98" s="27" t="n">
        <f aca="false">IF('TEa input'!AC11="","",'TEa input'!AC11)</f>
        <v>23.7</v>
      </c>
      <c r="E98" s="28" t="n">
        <f aca="false">IF(D98="","",MIN(Sigma!AN16:AN17))</f>
        <v>9.26320064987815</v>
      </c>
    </row>
    <row r="99" customFormat="false" ht="15" hidden="false" customHeight="true" outlineLevel="0" collapsed="false">
      <c r="A99" s="9" t="s">
        <v>88</v>
      </c>
      <c r="B99" s="11" t="s">
        <v>52</v>
      </c>
      <c r="C99" s="11" t="s">
        <v>325</v>
      </c>
      <c r="D99" s="27" t="str">
        <f aca="false">IF('TEa input'!AD11="","",'TEa input'!AD11)</f>
        <v/>
      </c>
      <c r="E99" s="28" t="str">
        <f aca="false">IF(D99="","",MIN(Sigma!AO16:AO17))</f>
        <v/>
      </c>
    </row>
    <row r="100" customFormat="false" ht="15" hidden="false" customHeight="true" outlineLevel="0" collapsed="false">
      <c r="A100" s="9" t="s">
        <v>88</v>
      </c>
      <c r="B100" s="11" t="s">
        <v>52</v>
      </c>
      <c r="C100" s="29" t="str">
        <f aca="false">IF('TEa input'!AE11="","Other",'TEa input'!AE11)</f>
        <v>Other</v>
      </c>
      <c r="D100" s="27" t="str">
        <f aca="false">IF('TEa input'!AF11="","",'TEa input'!AF11)</f>
        <v/>
      </c>
      <c r="E100" s="28" t="str">
        <f aca="false">IF(D100="","",MIN(Sigma!AP16:AP17))</f>
        <v/>
      </c>
    </row>
    <row r="101" customFormat="false" ht="15" hidden="false" customHeight="true" outlineLevel="0" collapsed="false">
      <c r="A101" s="9" t="s">
        <v>96</v>
      </c>
      <c r="B101" s="11" t="s">
        <v>52</v>
      </c>
      <c r="C101" s="11" t="s">
        <v>26</v>
      </c>
      <c r="D101" s="27" t="str">
        <f aca="false">IF('TEa input'!E12="","",'TEa input'!E12)</f>
        <v/>
      </c>
      <c r="E101" s="28" t="str">
        <f aca="false">IF(D101="","",MIN(Sigma!AA18:AA19))</f>
        <v/>
      </c>
    </row>
    <row r="102" customFormat="false" ht="15" hidden="false" customHeight="true" outlineLevel="0" collapsed="false">
      <c r="A102" s="9" t="s">
        <v>96</v>
      </c>
      <c r="B102" s="11" t="s">
        <v>52</v>
      </c>
      <c r="C102" s="11" t="s">
        <v>27</v>
      </c>
      <c r="D102" s="27" t="n">
        <f aca="false">IF('TEa input'!G12="","",'TEa input'!G12)</f>
        <v>30</v>
      </c>
      <c r="E102" s="28" t="n">
        <f aca="false">IF(D102="","",MIN(Sigma!AB18:AB19))</f>
        <v>6.56420492348636</v>
      </c>
    </row>
    <row r="103" customFormat="false" ht="15" hidden="false" customHeight="true" outlineLevel="0" collapsed="false">
      <c r="A103" s="9" t="s">
        <v>96</v>
      </c>
      <c r="B103" s="11" t="s">
        <v>52</v>
      </c>
      <c r="C103" s="11" t="s">
        <v>28</v>
      </c>
      <c r="D103" s="27" t="n">
        <f aca="false">IF('TEa input'!I12="","",'TEa input'!I12)</f>
        <v>20</v>
      </c>
      <c r="E103" s="28" t="n">
        <f aca="false">IF(D103="","",MIN(Sigma!AC18:AC19))</f>
        <v>4.34641827456199</v>
      </c>
    </row>
    <row r="104" customFormat="false" ht="15" hidden="false" customHeight="true" outlineLevel="0" collapsed="false">
      <c r="A104" s="9" t="s">
        <v>96</v>
      </c>
      <c r="B104" s="11" t="s">
        <v>52</v>
      </c>
      <c r="C104" s="11" t="s">
        <v>29</v>
      </c>
      <c r="D104" s="27" t="n">
        <f aca="false">IF('TEa input'!K12="","",'TEa input'!K12)</f>
        <v>15</v>
      </c>
      <c r="E104" s="28" t="n">
        <f aca="false">IF(D104="","",MIN(Sigma!AD18:AD19))</f>
        <v>3.2375249500998</v>
      </c>
    </row>
    <row r="105" customFormat="false" ht="15" hidden="false" customHeight="true" outlineLevel="0" collapsed="false">
      <c r="A105" s="9" t="s">
        <v>96</v>
      </c>
      <c r="B105" s="11" t="s">
        <v>52</v>
      </c>
      <c r="C105" s="11" t="s">
        <v>30</v>
      </c>
      <c r="D105" s="27" t="n">
        <f aca="false">IF('TEa input'!M12="","",'TEa input'!M12)</f>
        <v>20</v>
      </c>
      <c r="E105" s="28" t="n">
        <f aca="false">IF(D105="","",MIN(Sigma!AE18:AE19))</f>
        <v>4.34641827456199</v>
      </c>
    </row>
    <row r="106" customFormat="false" ht="15" hidden="false" customHeight="true" outlineLevel="0" collapsed="false">
      <c r="A106" s="9" t="s">
        <v>96</v>
      </c>
      <c r="B106" s="11" t="s">
        <v>52</v>
      </c>
      <c r="C106" s="11" t="s">
        <v>31</v>
      </c>
      <c r="D106" s="27" t="str">
        <f aca="false">IF('TEa input'!O12="","",'TEa input'!O12)</f>
        <v/>
      </c>
      <c r="E106" s="28" t="str">
        <f aca="false">IF(D106="","",MIN(Sigma!AF18:AF19))</f>
        <v/>
      </c>
    </row>
    <row r="107" customFormat="false" ht="15" hidden="false" customHeight="true" outlineLevel="0" collapsed="false">
      <c r="A107" s="9" t="s">
        <v>96</v>
      </c>
      <c r="B107" s="11" t="s">
        <v>52</v>
      </c>
      <c r="C107" s="11" t="s">
        <v>32</v>
      </c>
      <c r="D107" s="27" t="str">
        <f aca="false">IF('TEa input'!Q12="","",'TEa input'!Q12)</f>
        <v/>
      </c>
      <c r="E107" s="28" t="str">
        <f aca="false">IF(D107="","",MIN(Sigma!AG18:AG19))</f>
        <v/>
      </c>
    </row>
    <row r="108" customFormat="false" ht="15" hidden="false" customHeight="true" outlineLevel="0" collapsed="false">
      <c r="A108" s="9" t="s">
        <v>96</v>
      </c>
      <c r="B108" s="11" t="s">
        <v>52</v>
      </c>
      <c r="C108" s="11" t="s">
        <v>33</v>
      </c>
      <c r="D108" s="27" t="str">
        <f aca="false">IF('TEa input'!R12="","",'TEa input'!R12)</f>
        <v/>
      </c>
      <c r="E108" s="28" t="str">
        <f aca="false">IF(D108="","",MIN(Sigma!AH18:AH19))</f>
        <v/>
      </c>
    </row>
    <row r="109" customFormat="false" ht="15" hidden="false" customHeight="true" outlineLevel="0" collapsed="false">
      <c r="A109" s="9" t="s">
        <v>96</v>
      </c>
      <c r="B109" s="11" t="s">
        <v>52</v>
      </c>
      <c r="C109" s="11" t="s">
        <v>34</v>
      </c>
      <c r="D109" s="27" t="str">
        <f aca="false">IF('TEa input'!T12="","",'TEa input'!T12)</f>
        <v/>
      </c>
      <c r="E109" s="28" t="str">
        <f aca="false">IF(D109="","",MIN(Sigma!AI18:AI19))</f>
        <v/>
      </c>
    </row>
    <row r="110" customFormat="false" ht="15" hidden="false" customHeight="true" outlineLevel="0" collapsed="false">
      <c r="A110" s="9" t="s">
        <v>96</v>
      </c>
      <c r="B110" s="11" t="s">
        <v>52</v>
      </c>
      <c r="C110" s="11" t="s">
        <v>320</v>
      </c>
      <c r="D110" s="27" t="n">
        <f aca="false">IF('TEa input'!Y12="","",'TEa input'!Y12)</f>
        <v>8.81948084158768</v>
      </c>
      <c r="E110" s="28" t="n">
        <f aca="false">IF(D110="","",MIN(Sigma!AJ18:AJ19))</f>
        <v>1.86681766280499</v>
      </c>
    </row>
    <row r="111" customFormat="false" ht="15" hidden="false" customHeight="true" outlineLevel="0" collapsed="false">
      <c r="A111" s="9" t="s">
        <v>96</v>
      </c>
      <c r="B111" s="11" t="s">
        <v>52</v>
      </c>
      <c r="C111" s="11" t="s">
        <v>321</v>
      </c>
      <c r="D111" s="27" t="n">
        <f aca="false">IF('TEa input'!Z12="","",'TEa input'!Z12)</f>
        <v>17.6389616831754</v>
      </c>
      <c r="E111" s="28" t="n">
        <f aca="false">IF(D111="","",MIN(Sigma!AK18:AK19))</f>
        <v>3.82279034889673</v>
      </c>
    </row>
    <row r="112" customFormat="false" ht="15" hidden="false" customHeight="true" outlineLevel="0" collapsed="false">
      <c r="A112" s="9" t="s">
        <v>96</v>
      </c>
      <c r="B112" s="11" t="s">
        <v>52</v>
      </c>
      <c r="C112" s="11" t="s">
        <v>322</v>
      </c>
      <c r="D112" s="27" t="n">
        <f aca="false">IF('TEa input'!AA12="","",'TEa input'!AA12)</f>
        <v>26.458442524763</v>
      </c>
      <c r="E112" s="28" t="n">
        <f aca="false">IF(D112="","",MIN(Sigma!AL18:AL19))</f>
        <v>5.77876303498848</v>
      </c>
    </row>
    <row r="113" customFormat="false" ht="15" hidden="false" customHeight="true" outlineLevel="0" collapsed="false">
      <c r="A113" s="9" t="s">
        <v>96</v>
      </c>
      <c r="B113" s="11" t="s">
        <v>52</v>
      </c>
      <c r="C113" s="11" t="s">
        <v>323</v>
      </c>
      <c r="D113" s="27" t="str">
        <f aca="false">IF('TEa input'!AB12="","",'TEa input'!AB12)</f>
        <v/>
      </c>
      <c r="E113" s="28" t="str">
        <f aca="false">IF(D113="","",MIN(Sigma!AM18:AM19))</f>
        <v/>
      </c>
    </row>
    <row r="114" customFormat="false" ht="15" hidden="false" customHeight="true" outlineLevel="0" collapsed="false">
      <c r="A114" s="9" t="s">
        <v>96</v>
      </c>
      <c r="B114" s="11" t="s">
        <v>52</v>
      </c>
      <c r="C114" s="11" t="s">
        <v>324</v>
      </c>
      <c r="D114" s="27" t="str">
        <f aca="false">IF('TEa input'!AC12="","",'TEa input'!AC12)</f>
        <v/>
      </c>
      <c r="E114" s="28" t="str">
        <f aca="false">IF(D114="","",MIN(Sigma!AN18:AN19))</f>
        <v/>
      </c>
    </row>
    <row r="115" customFormat="false" ht="15" hidden="false" customHeight="true" outlineLevel="0" collapsed="false">
      <c r="A115" s="9" t="s">
        <v>96</v>
      </c>
      <c r="B115" s="11" t="s">
        <v>52</v>
      </c>
      <c r="C115" s="11" t="s">
        <v>325</v>
      </c>
      <c r="D115" s="27" t="str">
        <f aca="false">IF('TEa input'!AD12="","",'TEa input'!AD12)</f>
        <v/>
      </c>
      <c r="E115" s="28" t="str">
        <f aca="false">IF(D115="","",MIN(Sigma!AO18:AO19))</f>
        <v/>
      </c>
    </row>
    <row r="116" customFormat="false" ht="15" hidden="false" customHeight="true" outlineLevel="0" collapsed="false">
      <c r="A116" s="9" t="s">
        <v>96</v>
      </c>
      <c r="B116" s="11" t="s">
        <v>52</v>
      </c>
      <c r="C116" s="29" t="str">
        <f aca="false">IF('TEa input'!AE12="","Other",'TEa input'!AE12)</f>
        <v>Other</v>
      </c>
      <c r="D116" s="27" t="str">
        <f aca="false">IF('TEa input'!AF12="","",'TEa input'!AF12)</f>
        <v/>
      </c>
      <c r="E116" s="28" t="str">
        <f aca="false">IF(D116="","",MIN(Sigma!AP18:AP19))</f>
        <v/>
      </c>
    </row>
    <row r="117" customFormat="false" ht="15" hidden="false" customHeight="true" outlineLevel="0" collapsed="false">
      <c r="A117" s="9" t="s">
        <v>102</v>
      </c>
      <c r="B117" s="11" t="s">
        <v>52</v>
      </c>
      <c r="C117" s="11" t="s">
        <v>26</v>
      </c>
      <c r="D117" s="27" t="n">
        <f aca="false">IF('TEa input'!E13="","",'TEa input'!E13)</f>
        <v>12</v>
      </c>
      <c r="E117" s="28" t="n">
        <f aca="false">IF(D117="","",MIN(Sigma!AA20:AA21))</f>
        <v>4.11952744961779</v>
      </c>
    </row>
    <row r="118" customFormat="false" ht="15" hidden="false" customHeight="true" outlineLevel="0" collapsed="false">
      <c r="A118" s="9" t="s">
        <v>102</v>
      </c>
      <c r="B118" s="11" t="s">
        <v>52</v>
      </c>
      <c r="C118" s="11" t="s">
        <v>27</v>
      </c>
      <c r="D118" s="27" t="n">
        <f aca="false">IF('TEa input'!G13="","",'TEa input'!G13)</f>
        <v>20</v>
      </c>
      <c r="E118" s="28" t="n">
        <f aca="false">IF(D118="","",MIN(Sigma!AB20:AB21))</f>
        <v>6.89923558026407</v>
      </c>
    </row>
    <row r="119" customFormat="false" ht="15" hidden="false" customHeight="true" outlineLevel="0" collapsed="false">
      <c r="A119" s="9" t="s">
        <v>102</v>
      </c>
      <c r="B119" s="11" t="s">
        <v>52</v>
      </c>
      <c r="C119" s="11" t="s">
        <v>28</v>
      </c>
      <c r="D119" s="27" t="n">
        <f aca="false">IF('TEa input'!I13="","",'TEa input'!I13)</f>
        <v>13.5</v>
      </c>
      <c r="E119" s="28" t="n">
        <f aca="false">IF(D119="","",MIN(Sigma!AC20:AC21))</f>
        <v>4.64072272411397</v>
      </c>
    </row>
    <row r="120" customFormat="false" ht="15" hidden="false" customHeight="true" outlineLevel="0" collapsed="false">
      <c r="A120" s="9" t="s">
        <v>102</v>
      </c>
      <c r="B120" s="11" t="s">
        <v>52</v>
      </c>
      <c r="C120" s="11" t="s">
        <v>29</v>
      </c>
      <c r="D120" s="27" t="str">
        <f aca="false">IF('TEa input'!K13="","",'TEa input'!K13)</f>
        <v/>
      </c>
      <c r="E120" s="28" t="str">
        <f aca="false">IF(D120="","",MIN(Sigma!AD20:AD21))</f>
        <v/>
      </c>
    </row>
    <row r="121" customFormat="false" ht="15" hidden="false" customHeight="true" outlineLevel="0" collapsed="false">
      <c r="A121" s="9" t="s">
        <v>102</v>
      </c>
      <c r="B121" s="11" t="s">
        <v>52</v>
      </c>
      <c r="C121" s="11" t="s">
        <v>30</v>
      </c>
      <c r="D121" s="27" t="n">
        <f aca="false">IF('TEa input'!M13="","",'TEa input'!M13)</f>
        <v>15</v>
      </c>
      <c r="E121" s="28" t="n">
        <f aca="false">IF(D121="","",MIN(Sigma!AE20:AE21))</f>
        <v>5.16191799861015</v>
      </c>
    </row>
    <row r="122" customFormat="false" ht="15" hidden="false" customHeight="true" outlineLevel="0" collapsed="false">
      <c r="A122" s="9" t="s">
        <v>102</v>
      </c>
      <c r="B122" s="11" t="s">
        <v>52</v>
      </c>
      <c r="C122" s="11" t="s">
        <v>31</v>
      </c>
      <c r="D122" s="27" t="n">
        <f aca="false">IF('TEa input'!O13="","",'TEa input'!O13)</f>
        <v>25</v>
      </c>
      <c r="E122" s="28" t="n">
        <f aca="false">IF(D122="","",MIN(Sigma!AF20:AF21))</f>
        <v>8.636553161918</v>
      </c>
    </row>
    <row r="123" customFormat="false" ht="15" hidden="false" customHeight="true" outlineLevel="0" collapsed="false">
      <c r="A123" s="9" t="s">
        <v>102</v>
      </c>
      <c r="B123" s="11" t="s">
        <v>52</v>
      </c>
      <c r="C123" s="11" t="s">
        <v>32</v>
      </c>
      <c r="D123" s="27" t="n">
        <f aca="false">IF('TEa input'!Q13="","",'TEa input'!Q13)</f>
        <v>24</v>
      </c>
      <c r="E123" s="28" t="n">
        <f aca="false">IF(D123="","",MIN(Sigma!AG20:AG21))</f>
        <v>8.28908964558721</v>
      </c>
    </row>
    <row r="124" customFormat="false" ht="15" hidden="false" customHeight="true" outlineLevel="0" collapsed="false">
      <c r="A124" s="9" t="s">
        <v>102</v>
      </c>
      <c r="B124" s="11" t="s">
        <v>52</v>
      </c>
      <c r="C124" s="11" t="s">
        <v>33</v>
      </c>
      <c r="D124" s="27" t="str">
        <f aca="false">IF('TEa input'!R13="","",'TEa input'!R13)</f>
        <v/>
      </c>
      <c r="E124" s="28" t="str">
        <f aca="false">IF(D124="","",MIN(Sigma!AH20:AH21))</f>
        <v/>
      </c>
    </row>
    <row r="125" customFormat="false" ht="15" hidden="false" customHeight="true" outlineLevel="0" collapsed="false">
      <c r="A125" s="9" t="s">
        <v>102</v>
      </c>
      <c r="B125" s="11" t="s">
        <v>52</v>
      </c>
      <c r="C125" s="11" t="s">
        <v>34</v>
      </c>
      <c r="D125" s="27" t="n">
        <f aca="false">IF('TEa input'!T13="","",'TEa input'!T13)</f>
        <v>25</v>
      </c>
      <c r="E125" s="28" t="n">
        <f aca="false">IF(D125="","",MIN(Sigma!AI20:AI21))</f>
        <v>8.636553161918</v>
      </c>
    </row>
    <row r="126" customFormat="false" ht="15" hidden="false" customHeight="true" outlineLevel="0" collapsed="false">
      <c r="A126" s="9" t="s">
        <v>102</v>
      </c>
      <c r="B126" s="11" t="s">
        <v>52</v>
      </c>
      <c r="C126" s="11" t="s">
        <v>320</v>
      </c>
      <c r="D126" s="27" t="str">
        <f aca="false">IF('TEa input'!Y13="","",'TEa input'!Y13)</f>
        <v/>
      </c>
      <c r="E126" s="28" t="str">
        <f aca="false">IF(D126="","",MIN(Sigma!AJ20:AJ21))</f>
        <v/>
      </c>
    </row>
    <row r="127" customFormat="false" ht="15" hidden="false" customHeight="true" outlineLevel="0" collapsed="false">
      <c r="A127" s="9" t="s">
        <v>102</v>
      </c>
      <c r="B127" s="11" t="s">
        <v>52</v>
      </c>
      <c r="C127" s="11" t="s">
        <v>321</v>
      </c>
      <c r="D127" s="27" t="str">
        <f aca="false">IF('TEa input'!Z13="","",'TEa input'!Z13)</f>
        <v/>
      </c>
      <c r="E127" s="28" t="str">
        <f aca="false">IF(D127="","",MIN(Sigma!AK20:AK21))</f>
        <v/>
      </c>
    </row>
    <row r="128" customFormat="false" ht="15" hidden="false" customHeight="true" outlineLevel="0" collapsed="false">
      <c r="A128" s="9" t="s">
        <v>102</v>
      </c>
      <c r="B128" s="11" t="s">
        <v>52</v>
      </c>
      <c r="C128" s="11" t="s">
        <v>322</v>
      </c>
      <c r="D128" s="27" t="str">
        <f aca="false">IF('TEa input'!AA13="","",'TEa input'!AA13)</f>
        <v/>
      </c>
      <c r="E128" s="28" t="str">
        <f aca="false">IF(D128="","",MIN(Sigma!AL20:AL21))</f>
        <v/>
      </c>
    </row>
    <row r="129" customFormat="false" ht="15" hidden="false" customHeight="true" outlineLevel="0" collapsed="false">
      <c r="A129" s="9" t="s">
        <v>102</v>
      </c>
      <c r="B129" s="11" t="s">
        <v>52</v>
      </c>
      <c r="C129" s="11" t="s">
        <v>323</v>
      </c>
      <c r="D129" s="27" t="str">
        <f aca="false">IF('TEa input'!AB13="","",'TEa input'!AB13)</f>
        <v/>
      </c>
      <c r="E129" s="28" t="str">
        <f aca="false">IF(D129="","",MIN(Sigma!AM20:AM21))</f>
        <v/>
      </c>
    </row>
    <row r="130" customFormat="false" ht="15" hidden="false" customHeight="true" outlineLevel="0" collapsed="false">
      <c r="A130" s="9" t="s">
        <v>102</v>
      </c>
      <c r="B130" s="11" t="s">
        <v>52</v>
      </c>
      <c r="C130" s="11" t="s">
        <v>324</v>
      </c>
      <c r="D130" s="27" t="n">
        <f aca="false">IF('TEa input'!AC13="","",'TEa input'!AC13)</f>
        <v>16.9</v>
      </c>
      <c r="E130" s="28" t="n">
        <f aca="false">IF(D130="","",MIN(Sigma!AN20:AN21))</f>
        <v>5.82209867963864</v>
      </c>
    </row>
    <row r="131" customFormat="false" ht="15" hidden="false" customHeight="true" outlineLevel="0" collapsed="false">
      <c r="A131" s="9" t="s">
        <v>102</v>
      </c>
      <c r="B131" s="11" t="s">
        <v>52</v>
      </c>
      <c r="C131" s="11" t="s">
        <v>325</v>
      </c>
      <c r="D131" s="27" t="str">
        <f aca="false">IF('TEa input'!AD13="","",'TEa input'!AD13)</f>
        <v/>
      </c>
      <c r="E131" s="28" t="str">
        <f aca="false">IF(D131="","",MIN(Sigma!AO20:AO21))</f>
        <v/>
      </c>
    </row>
    <row r="132" customFormat="false" ht="15" hidden="false" customHeight="true" outlineLevel="0" collapsed="false">
      <c r="A132" s="9" t="s">
        <v>102</v>
      </c>
      <c r="B132" s="11" t="s">
        <v>52</v>
      </c>
      <c r="C132" s="29" t="str">
        <f aca="false">IF('TEa input'!AE13="","Other",'TEa input'!AE13)</f>
        <v>Other</v>
      </c>
      <c r="D132" s="27" t="str">
        <f aca="false">IF('TEa input'!AF13="","",'TEa input'!AF13)</f>
        <v/>
      </c>
      <c r="E132" s="28" t="str">
        <f aca="false">IF(D132="","",MIN(Sigma!AP20:AP21))</f>
        <v/>
      </c>
    </row>
    <row r="133" customFormat="false" ht="15" hidden="false" customHeight="true" outlineLevel="0" collapsed="false">
      <c r="A133" s="9" t="s">
        <v>109</v>
      </c>
      <c r="B133" s="11" t="s">
        <v>52</v>
      </c>
      <c r="C133" s="11" t="s">
        <v>26</v>
      </c>
      <c r="D133" s="27" t="str">
        <f aca="false">IF('TEa input'!E14="","",'TEa input'!E14)</f>
        <v/>
      </c>
      <c r="E133" s="28" t="str">
        <f aca="false">IF(D133="","",MIN(Sigma!AA22:AA23))</f>
        <v/>
      </c>
    </row>
    <row r="134" customFormat="false" ht="15" hidden="false" customHeight="true" outlineLevel="0" collapsed="false">
      <c r="A134" s="9" t="s">
        <v>109</v>
      </c>
      <c r="B134" s="11" t="s">
        <v>52</v>
      </c>
      <c r="C134" s="11" t="s">
        <v>27</v>
      </c>
      <c r="D134" s="27" t="n">
        <f aca="false">IF('TEa input'!G14="","",'TEa input'!G14)</f>
        <v>20</v>
      </c>
      <c r="E134" s="28" t="n">
        <f aca="false">IF(D134="","",MIN(Sigma!AB22:AB23))</f>
        <v>4.19300391389433</v>
      </c>
    </row>
    <row r="135" customFormat="false" ht="15" hidden="false" customHeight="true" outlineLevel="0" collapsed="false">
      <c r="A135" s="9" t="s">
        <v>109</v>
      </c>
      <c r="B135" s="11" t="s">
        <v>52</v>
      </c>
      <c r="C135" s="11" t="s">
        <v>28</v>
      </c>
      <c r="D135" s="27" t="n">
        <f aca="false">IF('TEa input'!I14="","",'TEa input'!I14)</f>
        <v>15.5</v>
      </c>
      <c r="E135" s="28" t="n">
        <f aca="false">IF(D135="","",MIN(Sigma!AC22:AC23))</f>
        <v>3.09222113502935</v>
      </c>
    </row>
    <row r="136" customFormat="false" ht="15" hidden="false" customHeight="true" outlineLevel="0" collapsed="false">
      <c r="A136" s="9" t="s">
        <v>109</v>
      </c>
      <c r="B136" s="11" t="s">
        <v>52</v>
      </c>
      <c r="C136" s="11" t="s">
        <v>29</v>
      </c>
      <c r="D136" s="27" t="str">
        <f aca="false">IF('TEa input'!K14="","",'TEa input'!K14)</f>
        <v/>
      </c>
      <c r="E136" s="28" t="str">
        <f aca="false">IF(D136="","",MIN(Sigma!AD22:AD23))</f>
        <v/>
      </c>
    </row>
    <row r="137" customFormat="false" ht="15" hidden="false" customHeight="true" outlineLevel="0" collapsed="false">
      <c r="A137" s="9" t="s">
        <v>109</v>
      </c>
      <c r="B137" s="11" t="s">
        <v>52</v>
      </c>
      <c r="C137" s="11" t="s">
        <v>30</v>
      </c>
      <c r="D137" s="27" t="n">
        <f aca="false">IF('TEa input'!M14="","",'TEa input'!M14)</f>
        <v>8</v>
      </c>
      <c r="E137" s="28" t="n">
        <f aca="false">IF(D137="","",MIN(Sigma!AE22:AE23))</f>
        <v>1.2575831702544</v>
      </c>
    </row>
    <row r="138" customFormat="false" ht="15" hidden="false" customHeight="true" outlineLevel="0" collapsed="false">
      <c r="A138" s="9" t="s">
        <v>109</v>
      </c>
      <c r="B138" s="11" t="s">
        <v>52</v>
      </c>
      <c r="C138" s="11" t="s">
        <v>31</v>
      </c>
      <c r="D138" s="27" t="n">
        <f aca="false">IF('TEa input'!O14="","",'TEa input'!O14)</f>
        <v>25</v>
      </c>
      <c r="E138" s="28" t="n">
        <f aca="false">IF(D138="","",MIN(Sigma!AF22:AF23))</f>
        <v>5.41609589041096</v>
      </c>
    </row>
    <row r="139" customFormat="false" ht="15" hidden="false" customHeight="true" outlineLevel="0" collapsed="false">
      <c r="A139" s="9" t="s">
        <v>109</v>
      </c>
      <c r="B139" s="11" t="s">
        <v>52</v>
      </c>
      <c r="C139" s="11" t="s">
        <v>32</v>
      </c>
      <c r="D139" s="27" t="n">
        <f aca="false">IF('TEa input'!Q14="","",'TEa input'!Q14)</f>
        <v>15</v>
      </c>
      <c r="E139" s="28" t="n">
        <f aca="false">IF(D139="","",MIN(Sigma!AG22:AG23))</f>
        <v>2.96991193737769</v>
      </c>
    </row>
    <row r="140" customFormat="false" ht="15" hidden="false" customHeight="true" outlineLevel="0" collapsed="false">
      <c r="A140" s="9" t="s">
        <v>109</v>
      </c>
      <c r="B140" s="11" t="s">
        <v>52</v>
      </c>
      <c r="C140" s="11" t="s">
        <v>33</v>
      </c>
      <c r="D140" s="27" t="str">
        <f aca="false">IF('TEa input'!R14="","",'TEa input'!R14)</f>
        <v/>
      </c>
      <c r="E140" s="28" t="str">
        <f aca="false">IF(D140="","",MIN(Sigma!AH22:AH23))</f>
        <v/>
      </c>
    </row>
    <row r="141" customFormat="false" ht="15" hidden="false" customHeight="true" outlineLevel="0" collapsed="false">
      <c r="A141" s="9" t="s">
        <v>109</v>
      </c>
      <c r="B141" s="11" t="s">
        <v>52</v>
      </c>
      <c r="C141" s="11" t="s">
        <v>34</v>
      </c>
      <c r="D141" s="27" t="n">
        <f aca="false">IF('TEa input'!T14="","",'TEa input'!T14)</f>
        <v>25</v>
      </c>
      <c r="E141" s="28" t="n">
        <f aca="false">IF(D141="","",MIN(Sigma!AI22:AI23))</f>
        <v>5.41609589041096</v>
      </c>
    </row>
    <row r="142" customFormat="false" ht="15" hidden="false" customHeight="true" outlineLevel="0" collapsed="false">
      <c r="A142" s="9" t="s">
        <v>109</v>
      </c>
      <c r="B142" s="11" t="s">
        <v>52</v>
      </c>
      <c r="C142" s="11" t="s">
        <v>320</v>
      </c>
      <c r="D142" s="27" t="n">
        <f aca="false">IF('TEa input'!Y14="","",'TEa input'!Y14)</f>
        <v>8.1233644102299</v>
      </c>
      <c r="E142" s="28" t="n">
        <f aca="false">IF(D142="","",MIN(Sigma!AJ22:AJ23))</f>
        <v>1.28776037432238</v>
      </c>
    </row>
    <row r="143" customFormat="false" ht="15" hidden="false" customHeight="true" outlineLevel="0" collapsed="false">
      <c r="A143" s="9" t="s">
        <v>109</v>
      </c>
      <c r="B143" s="11" t="s">
        <v>52</v>
      </c>
      <c r="C143" s="11" t="s">
        <v>321</v>
      </c>
      <c r="D143" s="27" t="n">
        <f aca="false">IF('TEa input'!Z14="","",'TEa input'!Z14)</f>
        <v>16.2467288204598</v>
      </c>
      <c r="E143" s="28" t="n">
        <f aca="false">IF(D143="","",MIN(Sigma!AK22:AK23))</f>
        <v>3.27488474081698</v>
      </c>
    </row>
    <row r="144" customFormat="false" ht="15" hidden="false" customHeight="true" outlineLevel="0" collapsed="false">
      <c r="A144" s="9" t="s">
        <v>109</v>
      </c>
      <c r="B144" s="11" t="s">
        <v>52</v>
      </c>
      <c r="C144" s="11" t="s">
        <v>322</v>
      </c>
      <c r="D144" s="27" t="n">
        <f aca="false">IF('TEa input'!AA14="","",'TEa input'!AA14)</f>
        <v>24.3700932306897</v>
      </c>
      <c r="E144" s="28" t="n">
        <f aca="false">IF(D144="","",MIN(Sigma!AL22:AL23))</f>
        <v>5.26200910731157</v>
      </c>
    </row>
    <row r="145" customFormat="false" ht="15" hidden="false" customHeight="true" outlineLevel="0" collapsed="false">
      <c r="A145" s="9" t="s">
        <v>109</v>
      </c>
      <c r="B145" s="11" t="s">
        <v>52</v>
      </c>
      <c r="C145" s="11" t="s">
        <v>323</v>
      </c>
      <c r="D145" s="27" t="str">
        <f aca="false">IF('TEa input'!AB14="","",'TEa input'!AB14)</f>
        <v/>
      </c>
      <c r="E145" s="28" t="str">
        <f aca="false">IF(D145="","",MIN(Sigma!AM22:AM23))</f>
        <v/>
      </c>
    </row>
    <row r="146" customFormat="false" ht="15" hidden="false" customHeight="true" outlineLevel="0" collapsed="false">
      <c r="A146" s="9" t="s">
        <v>109</v>
      </c>
      <c r="B146" s="11" t="s">
        <v>52</v>
      </c>
      <c r="C146" s="11" t="s">
        <v>324</v>
      </c>
      <c r="D146" s="27" t="n">
        <f aca="false">IF('TEa input'!AC14="","",'TEa input'!AC14)</f>
        <v>33.6</v>
      </c>
      <c r="E146" s="28" t="n">
        <f aca="false">IF(D146="","",MIN(Sigma!AN22:AN23))</f>
        <v>7.51981409001957</v>
      </c>
    </row>
    <row r="147" customFormat="false" ht="15" hidden="false" customHeight="true" outlineLevel="0" collapsed="false">
      <c r="A147" s="9" t="s">
        <v>109</v>
      </c>
      <c r="B147" s="11" t="s">
        <v>52</v>
      </c>
      <c r="C147" s="11" t="s">
        <v>325</v>
      </c>
      <c r="D147" s="27" t="str">
        <f aca="false">IF('TEa input'!AD14="","",'TEa input'!AD14)</f>
        <v/>
      </c>
      <c r="E147" s="28" t="str">
        <f aca="false">IF(D147="","",MIN(Sigma!AO22:AO23))</f>
        <v/>
      </c>
    </row>
    <row r="148" customFormat="false" ht="15" hidden="false" customHeight="true" outlineLevel="0" collapsed="false">
      <c r="A148" s="9" t="s">
        <v>109</v>
      </c>
      <c r="B148" s="11" t="s">
        <v>52</v>
      </c>
      <c r="C148" s="29" t="str">
        <f aca="false">IF('TEa input'!AE14="","Other",'TEa input'!AE14)</f>
        <v>Other</v>
      </c>
      <c r="D148" s="27" t="str">
        <f aca="false">IF('TEa input'!AF14="","",'TEa input'!AF14)</f>
        <v/>
      </c>
      <c r="E148" s="28" t="str">
        <f aca="false">IF(D148="","",MIN(Sigma!AP22:AP23))</f>
        <v/>
      </c>
    </row>
    <row r="149" customFormat="false" ht="15" hidden="false" customHeight="true" outlineLevel="0" collapsed="false">
      <c r="A149" s="9" t="s">
        <v>115</v>
      </c>
      <c r="B149" s="11" t="s">
        <v>52</v>
      </c>
      <c r="C149" s="11" t="s">
        <v>26</v>
      </c>
      <c r="D149" s="27" t="str">
        <f aca="false">IF('TEa input'!E15="","",'TEa input'!E15)</f>
        <v/>
      </c>
      <c r="E149" s="28" t="str">
        <f aca="false">IF(D149="","",MIN(Sigma!AA24:AA25))</f>
        <v/>
      </c>
    </row>
    <row r="150" customFormat="false" ht="15" hidden="false" customHeight="true" outlineLevel="0" collapsed="false">
      <c r="A150" s="9" t="s">
        <v>115</v>
      </c>
      <c r="B150" s="11" t="s">
        <v>52</v>
      </c>
      <c r="C150" s="11" t="s">
        <v>27</v>
      </c>
      <c r="D150" s="27" t="str">
        <f aca="false">IF('TEa input'!G15="","",'TEa input'!G15)</f>
        <v/>
      </c>
      <c r="E150" s="28" t="str">
        <f aca="false">IF(D150="","",MIN(Sigma!AB24:AB25))</f>
        <v/>
      </c>
    </row>
    <row r="151" customFormat="false" ht="15" hidden="false" customHeight="true" outlineLevel="0" collapsed="false">
      <c r="A151" s="9" t="s">
        <v>115</v>
      </c>
      <c r="B151" s="11" t="s">
        <v>52</v>
      </c>
      <c r="C151" s="11" t="s">
        <v>28</v>
      </c>
      <c r="D151" s="27" t="n">
        <f aca="false">IF('TEa input'!I15="","",'TEa input'!I15)</f>
        <v>25</v>
      </c>
      <c r="E151" s="28" t="n">
        <f aca="false">IF(D151="","",MIN(Sigma!AC24:AC25))</f>
        <v>3.46453635956398</v>
      </c>
    </row>
    <row r="152" customFormat="false" ht="15" hidden="false" customHeight="true" outlineLevel="0" collapsed="false">
      <c r="A152" s="9" t="s">
        <v>115</v>
      </c>
      <c r="B152" s="11" t="s">
        <v>52</v>
      </c>
      <c r="C152" s="11" t="s">
        <v>29</v>
      </c>
      <c r="D152" s="27" t="str">
        <f aca="false">IF('TEa input'!K15="","",'TEa input'!K15)</f>
        <v/>
      </c>
      <c r="E152" s="28" t="str">
        <f aca="false">IF(D152="","",MIN(Sigma!AD24:AD25))</f>
        <v/>
      </c>
    </row>
    <row r="153" customFormat="false" ht="15" hidden="false" customHeight="true" outlineLevel="0" collapsed="false">
      <c r="A153" s="9" t="s">
        <v>115</v>
      </c>
      <c r="B153" s="11" t="s">
        <v>52</v>
      </c>
      <c r="C153" s="11" t="s">
        <v>30</v>
      </c>
      <c r="D153" s="27" t="n">
        <f aca="false">IF('TEa input'!M15="","",'TEa input'!M15)</f>
        <v>15</v>
      </c>
      <c r="E153" s="28" t="n">
        <f aca="false">IF(D153="","",MIN(Sigma!AE24:AE25))</f>
        <v>1.97133044646857</v>
      </c>
    </row>
    <row r="154" customFormat="false" ht="15" hidden="false" customHeight="true" outlineLevel="0" collapsed="false">
      <c r="A154" s="9" t="s">
        <v>115</v>
      </c>
      <c r="B154" s="11" t="s">
        <v>52</v>
      </c>
      <c r="C154" s="11" t="s">
        <v>31</v>
      </c>
      <c r="D154" s="27" t="str">
        <f aca="false">IF('TEa input'!O15="","",'TEa input'!O15)</f>
        <v/>
      </c>
      <c r="E154" s="28" t="str">
        <f aca="false">IF(D154="","",MIN(Sigma!AF24:AF25))</f>
        <v/>
      </c>
    </row>
    <row r="155" customFormat="false" ht="15" hidden="false" customHeight="true" outlineLevel="0" collapsed="false">
      <c r="A155" s="9" t="s">
        <v>115</v>
      </c>
      <c r="B155" s="11" t="s">
        <v>52</v>
      </c>
      <c r="C155" s="11" t="s">
        <v>32</v>
      </c>
      <c r="D155" s="27" t="str">
        <f aca="false">IF('TEa input'!Q15="","",'TEa input'!Q15)</f>
        <v/>
      </c>
      <c r="E155" s="28" t="str">
        <f aca="false">IF(D155="","",MIN(Sigma!AG24:AG25))</f>
        <v/>
      </c>
    </row>
    <row r="156" customFormat="false" ht="15" hidden="false" customHeight="true" outlineLevel="0" collapsed="false">
      <c r="A156" s="9" t="s">
        <v>115</v>
      </c>
      <c r="B156" s="11" t="s">
        <v>52</v>
      </c>
      <c r="C156" s="11" t="s">
        <v>33</v>
      </c>
      <c r="D156" s="27" t="str">
        <f aca="false">IF('TEa input'!R15="","",'TEa input'!R15)</f>
        <v/>
      </c>
      <c r="E156" s="28" t="str">
        <f aca="false">IF(D156="","",MIN(Sigma!AH24:AH25))</f>
        <v/>
      </c>
    </row>
    <row r="157" customFormat="false" ht="15" hidden="false" customHeight="true" outlineLevel="0" collapsed="false">
      <c r="A157" s="9" t="s">
        <v>115</v>
      </c>
      <c r="B157" s="11" t="s">
        <v>52</v>
      </c>
      <c r="C157" s="11" t="s">
        <v>34</v>
      </c>
      <c r="D157" s="27" t="n">
        <f aca="false">IF('TEa input'!T15="","",'TEa input'!T15)</f>
        <v>25</v>
      </c>
      <c r="E157" s="28" t="n">
        <f aca="false">IF(D157="","",MIN(Sigma!AI24:AI25))</f>
        <v>3.46453635956398</v>
      </c>
    </row>
    <row r="158" customFormat="false" ht="15" hidden="false" customHeight="true" outlineLevel="0" collapsed="false">
      <c r="A158" s="9" t="s">
        <v>115</v>
      </c>
      <c r="B158" s="11" t="s">
        <v>52</v>
      </c>
      <c r="C158" s="11" t="s">
        <v>320</v>
      </c>
      <c r="D158" s="27" t="n">
        <f aca="false">IF('TEa input'!Y15="","",'TEa input'!Y15)</f>
        <v>7.5812432936357</v>
      </c>
      <c r="E158" s="28" t="n">
        <f aca="false">IF(D158="","",MIN(Sigma!AJ24:AJ25))</f>
        <v>0.863557308292624</v>
      </c>
    </row>
    <row r="159" customFormat="false" ht="15" hidden="false" customHeight="true" outlineLevel="0" collapsed="false">
      <c r="A159" s="9" t="s">
        <v>115</v>
      </c>
      <c r="B159" s="11" t="s">
        <v>52</v>
      </c>
      <c r="C159" s="11" t="s">
        <v>321</v>
      </c>
      <c r="D159" s="27" t="n">
        <f aca="false">IF('TEa input'!Z15="","",'TEa input'!Z15)</f>
        <v>15.1624865872714</v>
      </c>
      <c r="E159" s="28" t="n">
        <f aca="false">IF(D159="","",MIN(Sigma!AK24:AK25))</f>
        <v>1.9955930397598</v>
      </c>
    </row>
    <row r="160" customFormat="false" ht="15" hidden="false" customHeight="true" outlineLevel="0" collapsed="false">
      <c r="A160" s="9" t="s">
        <v>115</v>
      </c>
      <c r="B160" s="11" t="s">
        <v>52</v>
      </c>
      <c r="C160" s="11" t="s">
        <v>322</v>
      </c>
      <c r="D160" s="27" t="n">
        <f aca="false">IF('TEa input'!AA15="","",'TEa input'!AA15)</f>
        <v>22.7437298809071</v>
      </c>
      <c r="E160" s="28" t="n">
        <f aca="false">IF(D160="","",MIN(Sigma!AL24:AL25))</f>
        <v>3.12762877122698</v>
      </c>
    </row>
    <row r="161" customFormat="false" ht="15" hidden="false" customHeight="true" outlineLevel="0" collapsed="false">
      <c r="A161" s="9" t="s">
        <v>115</v>
      </c>
      <c r="B161" s="11" t="s">
        <v>52</v>
      </c>
      <c r="C161" s="11" t="s">
        <v>323</v>
      </c>
      <c r="D161" s="27" t="str">
        <f aca="false">IF('TEa input'!AB15="","",'TEa input'!AB15)</f>
        <v/>
      </c>
      <c r="E161" s="28" t="str">
        <f aca="false">IF(D161="","",MIN(Sigma!AM24:AM25))</f>
        <v/>
      </c>
    </row>
    <row r="162" customFormat="false" ht="15" hidden="false" customHeight="true" outlineLevel="0" collapsed="false">
      <c r="A162" s="9" t="s">
        <v>115</v>
      </c>
      <c r="B162" s="11" t="s">
        <v>52</v>
      </c>
      <c r="C162" s="11" t="s">
        <v>324</v>
      </c>
      <c r="D162" s="27" t="str">
        <f aca="false">IF('TEa input'!AC15="","",'TEa input'!AC15)</f>
        <v/>
      </c>
      <c r="E162" s="28" t="str">
        <f aca="false">IF(D162="","",MIN(Sigma!AN24:AN25))</f>
        <v/>
      </c>
    </row>
    <row r="163" customFormat="false" ht="15" hidden="false" customHeight="true" outlineLevel="0" collapsed="false">
      <c r="A163" s="9" t="s">
        <v>115</v>
      </c>
      <c r="B163" s="11" t="s">
        <v>52</v>
      </c>
      <c r="C163" s="11" t="s">
        <v>325</v>
      </c>
      <c r="D163" s="27" t="str">
        <f aca="false">IF('TEa input'!AD15="","",'TEa input'!AD15)</f>
        <v/>
      </c>
      <c r="E163" s="28" t="str">
        <f aca="false">IF(D163="","",MIN(Sigma!AO24:AO25))</f>
        <v/>
      </c>
    </row>
    <row r="164" customFormat="false" ht="15" hidden="false" customHeight="true" outlineLevel="0" collapsed="false">
      <c r="A164" s="9" t="s">
        <v>115</v>
      </c>
      <c r="B164" s="11" t="s">
        <v>52</v>
      </c>
      <c r="C164" s="29" t="str">
        <f aca="false">IF('TEa input'!AE15="","Other",'TEa input'!AE15)</f>
        <v>RfB</v>
      </c>
      <c r="D164" s="27" t="n">
        <f aca="false">IF('TEa input'!AF15="","",'TEa input'!AF15)</f>
        <v>30</v>
      </c>
      <c r="E164" s="28" t="n">
        <f aca="false">IF(D164="","",MIN(Sigma!AP24:AP25))</f>
        <v>4.21113931611169</v>
      </c>
    </row>
    <row r="165" customFormat="false" ht="15" hidden="false" customHeight="true" outlineLevel="0" collapsed="false">
      <c r="A165" s="9" t="s">
        <v>121</v>
      </c>
      <c r="B165" s="11" t="s">
        <v>122</v>
      </c>
      <c r="C165" s="11" t="s">
        <v>26</v>
      </c>
      <c r="D165" s="27" t="n">
        <f aca="false">IF('TEa input'!E16="","",'TEa input'!E16)</f>
        <v>4</v>
      </c>
      <c r="E165" s="28" t="n">
        <f aca="false">IF(D165="","",MIN(Sigma!AA26:AA27))</f>
        <v>2.97857142857143</v>
      </c>
    </row>
    <row r="166" customFormat="false" ht="15" hidden="false" customHeight="true" outlineLevel="0" collapsed="false">
      <c r="A166" s="9" t="s">
        <v>121</v>
      </c>
      <c r="B166" s="11" t="s">
        <v>122</v>
      </c>
      <c r="C166" s="11" t="s">
        <v>27</v>
      </c>
      <c r="D166" s="27" t="str">
        <f aca="false">IF('TEa input'!G16="","",'TEa input'!G16)</f>
        <v/>
      </c>
      <c r="E166" s="28" t="str">
        <f aca="false">IF(D166="","",MIN(Sigma!AB26:AB27))</f>
        <v/>
      </c>
    </row>
    <row r="167" customFormat="false" ht="15" hidden="false" customHeight="true" outlineLevel="0" collapsed="false">
      <c r="A167" s="9" t="s">
        <v>121</v>
      </c>
      <c r="B167" s="11" t="s">
        <v>122</v>
      </c>
      <c r="C167" s="11" t="s">
        <v>28</v>
      </c>
      <c r="D167" s="27" t="n">
        <f aca="false">IF('TEa input'!I16="","",'TEa input'!I16)</f>
        <v>4.5</v>
      </c>
      <c r="E167" s="28" t="n">
        <f aca="false">IF(D167="","",MIN(Sigma!AC26:AC27))</f>
        <v>3.37539682539683</v>
      </c>
    </row>
    <row r="168" customFormat="false" ht="15" hidden="false" customHeight="true" outlineLevel="0" collapsed="false">
      <c r="A168" s="9" t="s">
        <v>121</v>
      </c>
      <c r="B168" s="11" t="s">
        <v>122</v>
      </c>
      <c r="C168" s="11" t="s">
        <v>29</v>
      </c>
      <c r="D168" s="27" t="str">
        <f aca="false">IF('TEa input'!K16="","",'TEa input'!K16)</f>
        <v/>
      </c>
      <c r="E168" s="28" t="str">
        <f aca="false">IF(D168="","",MIN(Sigma!AD26:AD27))</f>
        <v/>
      </c>
    </row>
    <row r="169" customFormat="false" ht="15" hidden="false" customHeight="true" outlineLevel="0" collapsed="false">
      <c r="A169" s="9" t="s">
        <v>121</v>
      </c>
      <c r="B169" s="11" t="s">
        <v>122</v>
      </c>
      <c r="C169" s="11" t="s">
        <v>30</v>
      </c>
      <c r="D169" s="27" t="n">
        <f aca="false">IF('TEa input'!M16="","",'TEa input'!M16)</f>
        <v>5</v>
      </c>
      <c r="E169" s="28" t="n">
        <f aca="false">IF(D169="","",MIN(Sigma!AE26:AE27))</f>
        <v>3.77222222222222</v>
      </c>
    </row>
    <row r="170" customFormat="false" ht="15" hidden="false" customHeight="true" outlineLevel="0" collapsed="false">
      <c r="A170" s="9" t="s">
        <v>121</v>
      </c>
      <c r="B170" s="11" t="s">
        <v>122</v>
      </c>
      <c r="C170" s="11" t="s">
        <v>31</v>
      </c>
      <c r="D170" s="27" t="n">
        <f aca="false">IF('TEa input'!O16="","",'TEa input'!O16)</f>
        <v>6</v>
      </c>
      <c r="E170" s="28" t="n">
        <f aca="false">IF(D170="","",MIN(Sigma!AF26:AF27))</f>
        <v>4.56587301587302</v>
      </c>
    </row>
    <row r="171" customFormat="false" ht="15" hidden="false" customHeight="true" outlineLevel="0" collapsed="false">
      <c r="A171" s="9" t="s">
        <v>121</v>
      </c>
      <c r="B171" s="11" t="s">
        <v>122</v>
      </c>
      <c r="C171" s="11" t="s">
        <v>32</v>
      </c>
      <c r="D171" s="27" t="n">
        <f aca="false">IF('TEa input'!Q16="","",'TEa input'!Q16)</f>
        <v>8</v>
      </c>
      <c r="E171" s="28" t="n">
        <f aca="false">IF(D171="","",MIN(Sigma!AG26:AG27))</f>
        <v>6.1531746031746</v>
      </c>
    </row>
    <row r="172" customFormat="false" ht="15" hidden="false" customHeight="true" outlineLevel="0" collapsed="false">
      <c r="A172" s="9" t="s">
        <v>121</v>
      </c>
      <c r="B172" s="11" t="s">
        <v>122</v>
      </c>
      <c r="C172" s="11" t="s">
        <v>33</v>
      </c>
      <c r="D172" s="27" t="n">
        <f aca="false">IF('TEa input'!R16="","",'TEa input'!R16)</f>
        <v>4.8</v>
      </c>
      <c r="E172" s="28" t="n">
        <f aca="false">IF(D172="","",MIN(Sigma!AH26:AH27))</f>
        <v>3.61349206349206</v>
      </c>
    </row>
    <row r="173" customFormat="false" ht="15" hidden="false" customHeight="true" outlineLevel="0" collapsed="false">
      <c r="A173" s="9" t="s">
        <v>121</v>
      </c>
      <c r="B173" s="11" t="s">
        <v>122</v>
      </c>
      <c r="C173" s="11" t="s">
        <v>34</v>
      </c>
      <c r="D173" s="27" t="n">
        <f aca="false">IF('TEa input'!T16="","",'TEa input'!T16)</f>
        <v>9</v>
      </c>
      <c r="E173" s="28" t="n">
        <f aca="false">IF(D173="","",MIN(Sigma!AI26:AI27))</f>
        <v>6.9468253968254</v>
      </c>
    </row>
    <row r="174" customFormat="false" ht="15" hidden="false" customHeight="true" outlineLevel="0" collapsed="false">
      <c r="A174" s="9" t="s">
        <v>121</v>
      </c>
      <c r="B174" s="11" t="s">
        <v>122</v>
      </c>
      <c r="C174" s="11" t="s">
        <v>320</v>
      </c>
      <c r="D174" s="27" t="str">
        <f aca="false">IF('TEa input'!Y16="","",'TEa input'!Y16)</f>
        <v/>
      </c>
      <c r="E174" s="28" t="str">
        <f aca="false">IF(D174="","",MIN(Sigma!AJ26:AJ27))</f>
        <v/>
      </c>
    </row>
    <row r="175" customFormat="false" ht="15" hidden="false" customHeight="true" outlineLevel="0" collapsed="false">
      <c r="A175" s="9" t="s">
        <v>121</v>
      </c>
      <c r="B175" s="11" t="s">
        <v>122</v>
      </c>
      <c r="C175" s="11" t="s">
        <v>321</v>
      </c>
      <c r="D175" s="27" t="str">
        <f aca="false">IF('TEa input'!Z16="","",'TEa input'!Z16)</f>
        <v/>
      </c>
      <c r="E175" s="28" t="str">
        <f aca="false">IF(D175="","",MIN(Sigma!AK26:AK27))</f>
        <v/>
      </c>
    </row>
    <row r="176" customFormat="false" ht="15" hidden="false" customHeight="true" outlineLevel="0" collapsed="false">
      <c r="A176" s="9" t="s">
        <v>121</v>
      </c>
      <c r="B176" s="11" t="s">
        <v>122</v>
      </c>
      <c r="C176" s="11" t="s">
        <v>322</v>
      </c>
      <c r="D176" s="27" t="str">
        <f aca="false">IF('TEa input'!AA16="","",'TEa input'!AA16)</f>
        <v/>
      </c>
      <c r="E176" s="28" t="str">
        <f aca="false">IF(D176="","",MIN(Sigma!AL26:AL27))</f>
        <v/>
      </c>
    </row>
    <row r="177" customFormat="false" ht="15" hidden="false" customHeight="true" outlineLevel="0" collapsed="false">
      <c r="A177" s="9" t="s">
        <v>121</v>
      </c>
      <c r="B177" s="11" t="s">
        <v>122</v>
      </c>
      <c r="C177" s="11" t="s">
        <v>323</v>
      </c>
      <c r="D177" s="27" t="str">
        <f aca="false">IF('TEa input'!AB16="","",'TEa input'!AB16)</f>
        <v/>
      </c>
      <c r="E177" s="28" t="str">
        <f aca="false">IF(D177="","",MIN(Sigma!AM26:AM27))</f>
        <v/>
      </c>
    </row>
    <row r="178" customFormat="false" ht="15" hidden="false" customHeight="true" outlineLevel="0" collapsed="false">
      <c r="A178" s="9" t="s">
        <v>121</v>
      </c>
      <c r="B178" s="11" t="s">
        <v>122</v>
      </c>
      <c r="C178" s="11" t="s">
        <v>324</v>
      </c>
      <c r="D178" s="27" t="n">
        <f aca="false">IF('TEa input'!AC16="","",'TEa input'!AC16)</f>
        <v>5.61</v>
      </c>
      <c r="E178" s="28" t="n">
        <f aca="false">IF(D178="","",MIN(Sigma!AN26:AN27))</f>
        <v>4.25634920634921</v>
      </c>
    </row>
    <row r="179" customFormat="false" ht="15" hidden="false" customHeight="true" outlineLevel="0" collapsed="false">
      <c r="A179" s="9" t="s">
        <v>121</v>
      </c>
      <c r="B179" s="11" t="s">
        <v>122</v>
      </c>
      <c r="C179" s="11" t="s">
        <v>325</v>
      </c>
      <c r="D179" s="27" t="str">
        <f aca="false">IF('TEa input'!AD16="","",'TEa input'!AD16)</f>
        <v/>
      </c>
      <c r="E179" s="28" t="str">
        <f aca="false">IF(D179="","",MIN(Sigma!AO26:AO27))</f>
        <v/>
      </c>
    </row>
    <row r="180" customFormat="false" ht="15" hidden="false" customHeight="true" outlineLevel="0" collapsed="false">
      <c r="A180" s="9" t="s">
        <v>121</v>
      </c>
      <c r="B180" s="11" t="s">
        <v>122</v>
      </c>
      <c r="C180" s="29" t="str">
        <f aca="false">IF('TEa input'!AE16="","Other",'TEa input'!AE16)</f>
        <v>Other</v>
      </c>
      <c r="D180" s="27" t="str">
        <f aca="false">IF('TEa input'!AF16="","",'TEa input'!AF16)</f>
        <v/>
      </c>
      <c r="E180" s="28" t="str">
        <f aca="false">IF(D180="","",MIN(Sigma!AP26:AP27))</f>
        <v/>
      </c>
    </row>
    <row r="181" customFormat="false" ht="15" hidden="false" customHeight="true" outlineLevel="0" collapsed="false">
      <c r="A181" s="9" t="s">
        <v>129</v>
      </c>
      <c r="B181" s="11" t="s">
        <v>122</v>
      </c>
      <c r="C181" s="11" t="s">
        <v>26</v>
      </c>
      <c r="D181" s="27" t="n">
        <f aca="false">IF('TEa input'!E17="","",'TEa input'!E17)</f>
        <v>3</v>
      </c>
      <c r="E181" s="28" t="n">
        <f aca="false">IF(D181="","",MIN(Sigma!AA28:AA29))</f>
        <v>2.37077702702703</v>
      </c>
    </row>
    <row r="182" customFormat="false" ht="15" hidden="false" customHeight="true" outlineLevel="0" collapsed="false">
      <c r="A182" s="9" t="s">
        <v>129</v>
      </c>
      <c r="B182" s="11" t="s">
        <v>122</v>
      </c>
      <c r="C182" s="11" t="s">
        <v>27</v>
      </c>
      <c r="D182" s="27" t="n">
        <f aca="false">IF('TEa input'!G17="","",'TEa input'!G17)</f>
        <v>5</v>
      </c>
      <c r="E182" s="28" t="n">
        <f aca="false">IF(D182="","",MIN(Sigma!AB28:AB29))</f>
        <v>4.05996621621622</v>
      </c>
    </row>
    <row r="183" customFormat="false" ht="15" hidden="false" customHeight="true" outlineLevel="0" collapsed="false">
      <c r="A183" s="9" t="s">
        <v>129</v>
      </c>
      <c r="B183" s="11" t="s">
        <v>122</v>
      </c>
      <c r="C183" s="11" t="s">
        <v>28</v>
      </c>
      <c r="D183" s="27" t="n">
        <f aca="false">IF('TEa input'!I17="","",'TEa input'!I17)</f>
        <v>4.5</v>
      </c>
      <c r="E183" s="28" t="n">
        <f aca="false">IF(D183="","",MIN(Sigma!AC28:AC29))</f>
        <v>3.63766891891892</v>
      </c>
    </row>
    <row r="184" customFormat="false" ht="15" hidden="false" customHeight="true" outlineLevel="0" collapsed="false">
      <c r="A184" s="9" t="s">
        <v>129</v>
      </c>
      <c r="B184" s="11" t="s">
        <v>122</v>
      </c>
      <c r="C184" s="11" t="s">
        <v>29</v>
      </c>
      <c r="D184" s="27" t="str">
        <f aca="false">IF('TEa input'!K17="","",'TEa input'!K17)</f>
        <v/>
      </c>
      <c r="E184" s="28" t="str">
        <f aca="false">IF(D184="","",MIN(Sigma!AD28:AD29))</f>
        <v/>
      </c>
    </row>
    <row r="185" customFormat="false" ht="15" hidden="false" customHeight="true" outlineLevel="0" collapsed="false">
      <c r="A185" s="9" t="s">
        <v>129</v>
      </c>
      <c r="B185" s="11" t="s">
        <v>122</v>
      </c>
      <c r="C185" s="11" t="s">
        <v>30</v>
      </c>
      <c r="D185" s="27" t="n">
        <f aca="false">IF('TEa input'!M17="","",'TEa input'!M17)</f>
        <v>3</v>
      </c>
      <c r="E185" s="28" t="n">
        <f aca="false">IF(D185="","",MIN(Sigma!AE28:AE29))</f>
        <v>2.37077702702703</v>
      </c>
    </row>
    <row r="186" customFormat="false" ht="15" hidden="false" customHeight="true" outlineLevel="0" collapsed="false">
      <c r="A186" s="9" t="s">
        <v>129</v>
      </c>
      <c r="B186" s="11" t="s">
        <v>122</v>
      </c>
      <c r="C186" s="11" t="s">
        <v>31</v>
      </c>
      <c r="D186" s="27" t="n">
        <f aca="false">IF('TEa input'!O17="","",'TEa input'!O17)</f>
        <v>4</v>
      </c>
      <c r="E186" s="28" t="n">
        <f aca="false">IF(D186="","",MIN(Sigma!AF28:AF29))</f>
        <v>3.21537162162162</v>
      </c>
    </row>
    <row r="187" customFormat="false" ht="15" hidden="false" customHeight="true" outlineLevel="0" collapsed="false">
      <c r="A187" s="9" t="s">
        <v>129</v>
      </c>
      <c r="B187" s="11" t="s">
        <v>122</v>
      </c>
      <c r="C187" s="11" t="s">
        <v>32</v>
      </c>
      <c r="D187" s="27" t="n">
        <f aca="false">IF('TEa input'!Q17="","",'TEa input'!Q17)</f>
        <v>7</v>
      </c>
      <c r="E187" s="28" t="n">
        <f aca="false">IF(D187="","",MIN(Sigma!AG28:AG29))</f>
        <v>5.74915540540541</v>
      </c>
    </row>
    <row r="188" customFormat="false" ht="15" hidden="false" customHeight="true" outlineLevel="0" collapsed="false">
      <c r="A188" s="9" t="s">
        <v>129</v>
      </c>
      <c r="B188" s="11" t="s">
        <v>122</v>
      </c>
      <c r="C188" s="11" t="s">
        <v>33</v>
      </c>
      <c r="D188" s="27" t="n">
        <f aca="false">IF('TEa input'!R17="","",'TEa input'!R17)</f>
        <v>5.1</v>
      </c>
      <c r="E188" s="28" t="n">
        <f aca="false">IF(D188="","",MIN(Sigma!AH28:AH29))</f>
        <v>4.14442567567568</v>
      </c>
    </row>
    <row r="189" customFormat="false" ht="15" hidden="false" customHeight="true" outlineLevel="0" collapsed="false">
      <c r="A189" s="9" t="s">
        <v>129</v>
      </c>
      <c r="B189" s="11" t="s">
        <v>122</v>
      </c>
      <c r="C189" s="11" t="s">
        <v>34</v>
      </c>
      <c r="D189" s="27" t="str">
        <f aca="false">IF('TEa input'!T17="","",'TEa input'!T17)</f>
        <v/>
      </c>
      <c r="E189" s="28" t="str">
        <f aca="false">IF(D189="","",MIN(Sigma!AI28:AI29))</f>
        <v/>
      </c>
    </row>
    <row r="190" customFormat="false" ht="15" hidden="false" customHeight="true" outlineLevel="0" collapsed="false">
      <c r="A190" s="9" t="s">
        <v>129</v>
      </c>
      <c r="B190" s="11" t="s">
        <v>122</v>
      </c>
      <c r="C190" s="11" t="s">
        <v>320</v>
      </c>
      <c r="D190" s="27" t="str">
        <f aca="false">IF('TEa input'!Y17="","",'TEa input'!Y17)</f>
        <v/>
      </c>
      <c r="E190" s="28" t="str">
        <f aca="false">IF(D190="","",MIN(Sigma!AJ28:AJ29))</f>
        <v/>
      </c>
    </row>
    <row r="191" customFormat="false" ht="15" hidden="false" customHeight="true" outlineLevel="0" collapsed="false">
      <c r="A191" s="9" t="s">
        <v>129</v>
      </c>
      <c r="B191" s="11" t="s">
        <v>122</v>
      </c>
      <c r="C191" s="11" t="s">
        <v>321</v>
      </c>
      <c r="D191" s="27" t="str">
        <f aca="false">IF('TEa input'!Z17="","",'TEa input'!Z17)</f>
        <v/>
      </c>
      <c r="E191" s="28" t="str">
        <f aca="false">IF(D191="","",MIN(Sigma!AK28:AK29))</f>
        <v/>
      </c>
    </row>
    <row r="192" customFormat="false" ht="15" hidden="false" customHeight="true" outlineLevel="0" collapsed="false">
      <c r="A192" s="9" t="s">
        <v>129</v>
      </c>
      <c r="B192" s="11" t="s">
        <v>122</v>
      </c>
      <c r="C192" s="11" t="s">
        <v>322</v>
      </c>
      <c r="D192" s="27" t="str">
        <f aca="false">IF('TEa input'!AA17="","",'TEa input'!AA17)</f>
        <v/>
      </c>
      <c r="E192" s="28" t="str">
        <f aca="false">IF(D192="","",MIN(Sigma!AL28:AL29))</f>
        <v/>
      </c>
    </row>
    <row r="193" customFormat="false" ht="15" hidden="false" customHeight="true" outlineLevel="0" collapsed="false">
      <c r="A193" s="9" t="s">
        <v>129</v>
      </c>
      <c r="B193" s="11" t="s">
        <v>122</v>
      </c>
      <c r="C193" s="11" t="s">
        <v>323</v>
      </c>
      <c r="D193" s="27" t="str">
        <f aca="false">IF('TEa input'!AB17="","",'TEa input'!AB17)</f>
        <v/>
      </c>
      <c r="E193" s="28" t="str">
        <f aca="false">IF(D193="","",MIN(Sigma!AM28:AM29))</f>
        <v/>
      </c>
    </row>
    <row r="194" customFormat="false" ht="15" hidden="false" customHeight="true" outlineLevel="0" collapsed="false">
      <c r="A194" s="9" t="s">
        <v>129</v>
      </c>
      <c r="B194" s="11" t="s">
        <v>122</v>
      </c>
      <c r="C194" s="11" t="s">
        <v>324</v>
      </c>
      <c r="D194" s="27" t="n">
        <f aca="false">IF('TEa input'!AC17="","",'TEa input'!AC17)</f>
        <v>1.5</v>
      </c>
      <c r="E194" s="28" t="n">
        <f aca="false">IF(D194="","",MIN(Sigma!AN28:AN29))</f>
        <v>1.10388513513514</v>
      </c>
    </row>
    <row r="195" customFormat="false" ht="15" hidden="false" customHeight="true" outlineLevel="0" collapsed="false">
      <c r="A195" s="9" t="s">
        <v>129</v>
      </c>
      <c r="B195" s="11" t="s">
        <v>122</v>
      </c>
      <c r="C195" s="11" t="s">
        <v>325</v>
      </c>
      <c r="D195" s="27" t="str">
        <f aca="false">IF('TEa input'!AD17="","",'TEa input'!AD17)</f>
        <v/>
      </c>
      <c r="E195" s="28" t="str">
        <f aca="false">IF(D195="","",MIN(Sigma!AO28:AO29))</f>
        <v/>
      </c>
    </row>
    <row r="196" customFormat="false" ht="15" hidden="false" customHeight="true" outlineLevel="0" collapsed="false">
      <c r="A196" s="9" t="s">
        <v>129</v>
      </c>
      <c r="B196" s="11" t="s">
        <v>122</v>
      </c>
      <c r="C196" s="29" t="str">
        <f aca="false">IF('TEa input'!AE17="","Other",'TEa input'!AE17)</f>
        <v>Other</v>
      </c>
      <c r="D196" s="27" t="str">
        <f aca="false">IF('TEa input'!AF17="","",'TEa input'!AF17)</f>
        <v/>
      </c>
      <c r="E196" s="28" t="str">
        <f aca="false">IF(D196="","",MIN(Sigma!AP28:AP29))</f>
        <v/>
      </c>
    </row>
    <row r="197" customFormat="false" ht="15" hidden="false" customHeight="true" outlineLevel="0" collapsed="false">
      <c r="A197" s="9" t="s">
        <v>132</v>
      </c>
      <c r="B197" s="11" t="s">
        <v>122</v>
      </c>
      <c r="C197" s="11" t="s">
        <v>26</v>
      </c>
      <c r="D197" s="27" t="n">
        <f aca="false">IF('TEa input'!E18="","",'TEa input'!E18)</f>
        <v>10</v>
      </c>
      <c r="E197" s="28" t="n">
        <f aca="false">IF(D197="","",MIN(Sigma!AA30:AA31))</f>
        <v>2.66825307950728</v>
      </c>
    </row>
    <row r="198" customFormat="false" ht="15" hidden="false" customHeight="true" outlineLevel="0" collapsed="false">
      <c r="A198" s="9" t="s">
        <v>132</v>
      </c>
      <c r="B198" s="11" t="s">
        <v>122</v>
      </c>
      <c r="C198" s="11" t="s">
        <v>27</v>
      </c>
      <c r="D198" s="27" t="n">
        <f aca="false">IF('TEa input'!G18="","",'TEa input'!G18)</f>
        <v>9</v>
      </c>
      <c r="E198" s="28" t="n">
        <f aca="false">IF(D198="","",MIN(Sigma!AB30:AB31))</f>
        <v>2.38829787234043</v>
      </c>
    </row>
    <row r="199" customFormat="false" ht="15" hidden="false" customHeight="true" outlineLevel="0" collapsed="false">
      <c r="A199" s="9" t="s">
        <v>132</v>
      </c>
      <c r="B199" s="11" t="s">
        <v>122</v>
      </c>
      <c r="C199" s="11" t="s">
        <v>28</v>
      </c>
      <c r="D199" s="27" t="n">
        <f aca="false">IF('TEa input'!I18="","",'TEa input'!I18)</f>
        <v>10.5</v>
      </c>
      <c r="E199" s="28" t="n">
        <f aca="false">IF(D199="","",MIN(Sigma!AC30:AC31))</f>
        <v>2.80823068309071</v>
      </c>
    </row>
    <row r="200" customFormat="false" ht="15" hidden="false" customHeight="true" outlineLevel="0" collapsed="false">
      <c r="A200" s="9" t="s">
        <v>132</v>
      </c>
      <c r="B200" s="11" t="s">
        <v>122</v>
      </c>
      <c r="C200" s="11" t="s">
        <v>29</v>
      </c>
      <c r="D200" s="27" t="str">
        <f aca="false">IF('TEa input'!K18="","",'TEa input'!K18)</f>
        <v/>
      </c>
      <c r="E200" s="28" t="str">
        <f aca="false">IF(D200="","",MIN(Sigma!AD30:AD31))</f>
        <v/>
      </c>
    </row>
    <row r="201" customFormat="false" ht="15" hidden="false" customHeight="true" outlineLevel="0" collapsed="false">
      <c r="A201" s="9" t="s">
        <v>132</v>
      </c>
      <c r="B201" s="11" t="s">
        <v>122</v>
      </c>
      <c r="C201" s="11" t="s">
        <v>30</v>
      </c>
      <c r="D201" s="27" t="n">
        <f aca="false">IF('TEa input'!M18="","",'TEa input'!M18)</f>
        <v>12</v>
      </c>
      <c r="E201" s="28" t="n">
        <f aca="false">IF(D201="","",MIN(Sigma!AE30:AE31))</f>
        <v>3.22816349384099</v>
      </c>
    </row>
    <row r="202" customFormat="false" ht="15" hidden="false" customHeight="true" outlineLevel="0" collapsed="false">
      <c r="A202" s="9" t="s">
        <v>132</v>
      </c>
      <c r="B202" s="11" t="s">
        <v>122</v>
      </c>
      <c r="C202" s="11" t="s">
        <v>31</v>
      </c>
      <c r="D202" s="27" t="n">
        <f aca="false">IF('TEa input'!O18="","",'TEa input'!O18)</f>
        <v>8</v>
      </c>
      <c r="E202" s="28" t="n">
        <f aca="false">IF(D202="","",MIN(Sigma!AF30:AF31))</f>
        <v>2.10834266517357</v>
      </c>
    </row>
    <row r="203" customFormat="false" ht="15" hidden="false" customHeight="true" outlineLevel="0" collapsed="false">
      <c r="A203" s="9" t="s">
        <v>132</v>
      </c>
      <c r="B203" s="11" t="s">
        <v>122</v>
      </c>
      <c r="C203" s="11" t="s">
        <v>32</v>
      </c>
      <c r="D203" s="27" t="n">
        <f aca="false">IF('TEa input'!Q18="","",'TEa input'!Q18)</f>
        <v>15</v>
      </c>
      <c r="E203" s="28" t="n">
        <f aca="false">IF(D203="","",MIN(Sigma!AG30:AG31))</f>
        <v>4.06802911534155</v>
      </c>
    </row>
    <row r="204" customFormat="false" ht="15" hidden="false" customHeight="true" outlineLevel="0" collapsed="false">
      <c r="A204" s="9" t="s">
        <v>132</v>
      </c>
      <c r="B204" s="11" t="s">
        <v>122</v>
      </c>
      <c r="C204" s="11" t="s">
        <v>33</v>
      </c>
      <c r="D204" s="27" t="n">
        <f aca="false">IF('TEa input'!R18="","",'TEa input'!R18)</f>
        <v>9</v>
      </c>
      <c r="E204" s="28" t="n">
        <f aca="false">IF(D204="","",MIN(Sigma!AH30:AH31))</f>
        <v>2.38829787234043</v>
      </c>
    </row>
    <row r="205" customFormat="false" ht="15" hidden="false" customHeight="true" outlineLevel="0" collapsed="false">
      <c r="A205" s="9" t="s">
        <v>132</v>
      </c>
      <c r="B205" s="11" t="s">
        <v>122</v>
      </c>
      <c r="C205" s="11" t="s">
        <v>34</v>
      </c>
      <c r="D205" s="27" t="n">
        <f aca="false">IF('TEa input'!T18="","",'TEa input'!T18)</f>
        <v>20</v>
      </c>
      <c r="E205" s="28" t="n">
        <f aca="false">IF(D205="","",MIN(Sigma!AI30:AI31))</f>
        <v>5.46780515117581</v>
      </c>
    </row>
    <row r="206" customFormat="false" ht="15" hidden="false" customHeight="true" outlineLevel="0" collapsed="false">
      <c r="A206" s="9" t="s">
        <v>132</v>
      </c>
      <c r="B206" s="11" t="s">
        <v>122</v>
      </c>
      <c r="C206" s="11" t="s">
        <v>320</v>
      </c>
      <c r="D206" s="27" t="str">
        <f aca="false">IF('TEa input'!Y18="","",'TEa input'!Y18)</f>
        <v/>
      </c>
      <c r="E206" s="28" t="str">
        <f aca="false">IF(D206="","",MIN(Sigma!AJ30:AJ31))</f>
        <v/>
      </c>
    </row>
    <row r="207" customFormat="false" ht="15" hidden="false" customHeight="true" outlineLevel="0" collapsed="false">
      <c r="A207" s="9" t="s">
        <v>132</v>
      </c>
      <c r="B207" s="11" t="s">
        <v>122</v>
      </c>
      <c r="C207" s="11" t="s">
        <v>321</v>
      </c>
      <c r="D207" s="27" t="str">
        <f aca="false">IF('TEa input'!Z18="","",'TEa input'!Z18)</f>
        <v/>
      </c>
      <c r="E207" s="28" t="str">
        <f aca="false">IF(D207="","",MIN(Sigma!AK30:AK31))</f>
        <v/>
      </c>
    </row>
    <row r="208" customFormat="false" ht="15" hidden="false" customHeight="true" outlineLevel="0" collapsed="false">
      <c r="A208" s="9" t="s">
        <v>132</v>
      </c>
      <c r="B208" s="11" t="s">
        <v>122</v>
      </c>
      <c r="C208" s="11" t="s">
        <v>322</v>
      </c>
      <c r="D208" s="27" t="str">
        <f aca="false">IF('TEa input'!AA18="","",'TEa input'!AA18)</f>
        <v/>
      </c>
      <c r="E208" s="28" t="str">
        <f aca="false">IF(D208="","",MIN(Sigma!AL30:AL31))</f>
        <v/>
      </c>
    </row>
    <row r="209" customFormat="false" ht="15" hidden="false" customHeight="true" outlineLevel="0" collapsed="false">
      <c r="A209" s="9" t="s">
        <v>132</v>
      </c>
      <c r="B209" s="11" t="s">
        <v>122</v>
      </c>
      <c r="C209" s="11" t="s">
        <v>323</v>
      </c>
      <c r="D209" s="27" t="str">
        <f aca="false">IF('TEa input'!AB18="","",'TEa input'!AB18)</f>
        <v/>
      </c>
      <c r="E209" s="28" t="str">
        <f aca="false">IF(D209="","",MIN(Sigma!AM30:AM31))</f>
        <v/>
      </c>
    </row>
    <row r="210" customFormat="false" ht="15" hidden="false" customHeight="true" outlineLevel="0" collapsed="false">
      <c r="A210" s="9" t="s">
        <v>132</v>
      </c>
      <c r="B210" s="11" t="s">
        <v>122</v>
      </c>
      <c r="C210" s="11" t="s">
        <v>324</v>
      </c>
      <c r="D210" s="27" t="n">
        <f aca="false">IF('TEa input'!AC18="","",'TEa input'!AC18)</f>
        <v>15.55</v>
      </c>
      <c r="E210" s="28" t="n">
        <f aca="false">IF(D210="","",MIN(Sigma!AN30:AN31))</f>
        <v>4.22200447928332</v>
      </c>
    </row>
    <row r="211" customFormat="false" ht="15" hidden="false" customHeight="true" outlineLevel="0" collapsed="false">
      <c r="A211" s="9" t="s">
        <v>132</v>
      </c>
      <c r="B211" s="11" t="s">
        <v>122</v>
      </c>
      <c r="C211" s="11" t="s">
        <v>325</v>
      </c>
      <c r="D211" s="27" t="str">
        <f aca="false">IF('TEa input'!AD18="","",'TEa input'!AD18)</f>
        <v/>
      </c>
      <c r="E211" s="28" t="str">
        <f aca="false">IF(D211="","",MIN(Sigma!AO30:AO31))</f>
        <v/>
      </c>
    </row>
    <row r="212" customFormat="false" ht="15" hidden="false" customHeight="true" outlineLevel="0" collapsed="false">
      <c r="A212" s="9" t="s">
        <v>132</v>
      </c>
      <c r="B212" s="11" t="s">
        <v>122</v>
      </c>
      <c r="C212" s="29" t="str">
        <f aca="false">IF('TEa input'!AE18="","Other",'TEa input'!AE18)</f>
        <v>Other</v>
      </c>
      <c r="D212" s="27" t="str">
        <f aca="false">IF('TEa input'!AF18="","",'TEa input'!AF18)</f>
        <v/>
      </c>
      <c r="E212" s="28" t="str">
        <f aca="false">IF(D212="","",MIN(Sigma!AP30:AP31))</f>
        <v/>
      </c>
    </row>
    <row r="213" customFormat="false" ht="15" hidden="false" customHeight="true" outlineLevel="0" collapsed="false">
      <c r="A213" s="9" t="s">
        <v>137</v>
      </c>
      <c r="B213" s="11" t="s">
        <v>122</v>
      </c>
      <c r="C213" s="11" t="s">
        <v>26</v>
      </c>
      <c r="D213" s="27" t="n">
        <f aca="false">IF('TEa input'!E19="","",'TEa input'!E19)</f>
        <v>8</v>
      </c>
      <c r="E213" s="28" t="n">
        <f aca="false">IF(D213="","",MIN(Sigma!AA32:AA33))</f>
        <v>5.19084967320262</v>
      </c>
    </row>
    <row r="214" customFormat="false" ht="15" hidden="false" customHeight="true" outlineLevel="0" collapsed="false">
      <c r="A214" s="9" t="s">
        <v>137</v>
      </c>
      <c r="B214" s="11" t="s">
        <v>122</v>
      </c>
      <c r="C214" s="11" t="s">
        <v>27</v>
      </c>
      <c r="D214" s="27" t="n">
        <f aca="false">IF('TEa input'!G19="","",'TEa input'!G19)</f>
        <v>10</v>
      </c>
      <c r="E214" s="28" t="n">
        <f aca="false">IF(D214="","",MIN(Sigma!AB32:AB33))</f>
        <v>6.49803921568627</v>
      </c>
    </row>
    <row r="215" customFormat="false" ht="15" hidden="false" customHeight="true" outlineLevel="0" collapsed="false">
      <c r="A215" s="9" t="s">
        <v>137</v>
      </c>
      <c r="B215" s="11" t="s">
        <v>122</v>
      </c>
      <c r="C215" s="11" t="s">
        <v>28</v>
      </c>
      <c r="D215" s="27" t="n">
        <f aca="false">IF('TEa input'!I19="","",'TEa input'!I19)</f>
        <v>7</v>
      </c>
      <c r="E215" s="28" t="n">
        <f aca="false">IF(D215="","",MIN(Sigma!AC32:AC33))</f>
        <v>4.49321912919343</v>
      </c>
    </row>
    <row r="216" customFormat="false" ht="15" hidden="false" customHeight="true" outlineLevel="0" collapsed="false">
      <c r="A216" s="9" t="s">
        <v>137</v>
      </c>
      <c r="B216" s="11" t="s">
        <v>122</v>
      </c>
      <c r="C216" s="11" t="s">
        <v>29</v>
      </c>
      <c r="D216" s="27" t="str">
        <f aca="false">IF('TEa input'!K19="","",'TEa input'!K19)</f>
        <v/>
      </c>
      <c r="E216" s="28" t="str">
        <f aca="false">IF(D216="","",MIN(Sigma!AD32:AD33))</f>
        <v/>
      </c>
    </row>
    <row r="217" customFormat="false" ht="15" hidden="false" customHeight="true" outlineLevel="0" collapsed="false">
      <c r="A217" s="9" t="s">
        <v>137</v>
      </c>
      <c r="B217" s="11" t="s">
        <v>122</v>
      </c>
      <c r="C217" s="11" t="s">
        <v>30</v>
      </c>
      <c r="D217" s="27" t="n">
        <f aca="false">IF('TEa input'!M19="","",'TEa input'!M19)</f>
        <v>8</v>
      </c>
      <c r="E217" s="28" t="n">
        <f aca="false">IF(D217="","",MIN(Sigma!AE32:AE33))</f>
        <v>5.19084967320262</v>
      </c>
    </row>
    <row r="218" customFormat="false" ht="15" hidden="false" customHeight="true" outlineLevel="0" collapsed="false">
      <c r="A218" s="9" t="s">
        <v>137</v>
      </c>
      <c r="B218" s="11" t="s">
        <v>122</v>
      </c>
      <c r="C218" s="11" t="s">
        <v>31</v>
      </c>
      <c r="D218" s="27" t="n">
        <f aca="false">IF('TEa input'!O19="","",'TEa input'!O19)</f>
        <v>12</v>
      </c>
      <c r="E218" s="28" t="n">
        <f aca="false">IF(D218="","",MIN(Sigma!AF32:AF33))</f>
        <v>7.80522875816993</v>
      </c>
    </row>
    <row r="219" customFormat="false" ht="15" hidden="false" customHeight="true" outlineLevel="0" collapsed="false">
      <c r="A219" s="9" t="s">
        <v>137</v>
      </c>
      <c r="B219" s="11" t="s">
        <v>122</v>
      </c>
      <c r="C219" s="11" t="s">
        <v>32</v>
      </c>
      <c r="D219" s="27" t="n">
        <f aca="false">IF('TEa input'!Q19="","",'TEa input'!Q19)</f>
        <v>14</v>
      </c>
      <c r="E219" s="28" t="n">
        <f aca="false">IF(D219="","",MIN(Sigma!AG32:AG33))</f>
        <v>9.11241830065359</v>
      </c>
    </row>
    <row r="220" customFormat="false" ht="15" hidden="false" customHeight="true" outlineLevel="0" collapsed="false">
      <c r="A220" s="9" t="s">
        <v>137</v>
      </c>
      <c r="B220" s="11" t="s">
        <v>122</v>
      </c>
      <c r="C220" s="11" t="s">
        <v>33</v>
      </c>
      <c r="D220" s="27" t="n">
        <f aca="false">IF('TEa input'!R19="","",'TEa input'!R19)</f>
        <v>8</v>
      </c>
      <c r="E220" s="28" t="n">
        <f aca="false">IF(D220="","",MIN(Sigma!AH32:AH33))</f>
        <v>5.19084967320262</v>
      </c>
    </row>
    <row r="221" customFormat="false" ht="15" hidden="false" customHeight="true" outlineLevel="0" collapsed="false">
      <c r="A221" s="9" t="s">
        <v>137</v>
      </c>
      <c r="B221" s="11" t="s">
        <v>122</v>
      </c>
      <c r="C221" s="11" t="s">
        <v>34</v>
      </c>
      <c r="D221" s="27" t="n">
        <f aca="false">IF('TEa input'!T19="","",'TEa input'!T19)</f>
        <v>13</v>
      </c>
      <c r="E221" s="28" t="n">
        <f aca="false">IF(D221="","",MIN(Sigma!AI32:AI33))</f>
        <v>8.45882352941177</v>
      </c>
    </row>
    <row r="222" customFormat="false" ht="15" hidden="false" customHeight="true" outlineLevel="0" collapsed="false">
      <c r="A222" s="9" t="s">
        <v>137</v>
      </c>
      <c r="B222" s="11" t="s">
        <v>122</v>
      </c>
      <c r="C222" s="11" t="s">
        <v>320</v>
      </c>
      <c r="D222" s="27" t="str">
        <f aca="false">IF('TEa input'!Y19="","",'TEa input'!Y19)</f>
        <v/>
      </c>
      <c r="E222" s="28" t="str">
        <f aca="false">IF(D222="","",MIN(Sigma!AJ32:AJ33))</f>
        <v/>
      </c>
    </row>
    <row r="223" customFormat="false" ht="15" hidden="false" customHeight="true" outlineLevel="0" collapsed="false">
      <c r="A223" s="9" t="s">
        <v>137</v>
      </c>
      <c r="B223" s="11" t="s">
        <v>122</v>
      </c>
      <c r="C223" s="11" t="s">
        <v>321</v>
      </c>
      <c r="D223" s="27" t="str">
        <f aca="false">IF('TEa input'!Z19="","",'TEa input'!Z19)</f>
        <v/>
      </c>
      <c r="E223" s="28" t="str">
        <f aca="false">IF(D223="","",MIN(Sigma!AK32:AK33))</f>
        <v/>
      </c>
    </row>
    <row r="224" customFormat="false" ht="15" hidden="false" customHeight="true" outlineLevel="0" collapsed="false">
      <c r="A224" s="9" t="s">
        <v>137</v>
      </c>
      <c r="B224" s="11" t="s">
        <v>122</v>
      </c>
      <c r="C224" s="11" t="s">
        <v>322</v>
      </c>
      <c r="D224" s="27" t="str">
        <f aca="false">IF('TEa input'!AA19="","",'TEa input'!AA19)</f>
        <v/>
      </c>
      <c r="E224" s="28" t="str">
        <f aca="false">IF(D224="","",MIN(Sigma!AL32:AL33))</f>
        <v/>
      </c>
    </row>
    <row r="225" customFormat="false" ht="15" hidden="false" customHeight="true" outlineLevel="0" collapsed="false">
      <c r="A225" s="9" t="s">
        <v>137</v>
      </c>
      <c r="B225" s="11" t="s">
        <v>122</v>
      </c>
      <c r="C225" s="11" t="s">
        <v>323</v>
      </c>
      <c r="D225" s="27" t="str">
        <f aca="false">IF('TEa input'!AB19="","",'TEa input'!AB19)</f>
        <v/>
      </c>
      <c r="E225" s="28" t="str">
        <f aca="false">IF(D225="","",MIN(Sigma!AM32:AM33))</f>
        <v/>
      </c>
    </row>
    <row r="226" customFormat="false" ht="15" hidden="false" customHeight="true" outlineLevel="0" collapsed="false">
      <c r="A226" s="9" t="s">
        <v>137</v>
      </c>
      <c r="B226" s="11" t="s">
        <v>122</v>
      </c>
      <c r="C226" s="11" t="s">
        <v>324</v>
      </c>
      <c r="D226" s="27" t="n">
        <f aca="false">IF('TEa input'!AC19="","",'TEa input'!AC19)</f>
        <v>11.97</v>
      </c>
      <c r="E226" s="28" t="n">
        <f aca="false">IF(D226="","",MIN(Sigma!AN32:AN33))</f>
        <v>7.78562091503268</v>
      </c>
    </row>
    <row r="227" customFormat="false" ht="15" hidden="false" customHeight="true" outlineLevel="0" collapsed="false">
      <c r="A227" s="9" t="s">
        <v>137</v>
      </c>
      <c r="B227" s="11" t="s">
        <v>122</v>
      </c>
      <c r="C227" s="11" t="s">
        <v>325</v>
      </c>
      <c r="D227" s="27" t="str">
        <f aca="false">IF('TEa input'!AD19="","",'TEa input'!AD19)</f>
        <v/>
      </c>
      <c r="E227" s="28" t="str">
        <f aca="false">IF(D227="","",MIN(Sigma!AO32:AO33))</f>
        <v/>
      </c>
    </row>
    <row r="228" customFormat="false" ht="15" hidden="false" customHeight="true" outlineLevel="0" collapsed="false">
      <c r="A228" s="9" t="s">
        <v>137</v>
      </c>
      <c r="B228" s="11" t="s">
        <v>122</v>
      </c>
      <c r="C228" s="29" t="str">
        <f aca="false">IF('TEa input'!AE19="","Other",'TEa input'!AE19)</f>
        <v>Other</v>
      </c>
      <c r="D228" s="27" t="str">
        <f aca="false">IF('TEa input'!AF19="","",'TEa input'!AF19)</f>
        <v/>
      </c>
      <c r="E228" s="28" t="str">
        <f aca="false">IF(D228="","",MIN(Sigma!AP32:AP33))</f>
        <v/>
      </c>
    </row>
    <row r="229" customFormat="false" ht="15" hidden="false" customHeight="true" outlineLevel="0" collapsed="false">
      <c r="A229" s="9" t="s">
        <v>142</v>
      </c>
      <c r="B229" s="11" t="s">
        <v>122</v>
      </c>
      <c r="C229" s="11" t="s">
        <v>26</v>
      </c>
      <c r="D229" s="27" t="n">
        <f aca="false">IF('TEa input'!E20="","",'TEa input'!E20)</f>
        <v>12</v>
      </c>
      <c r="E229" s="28" t="n">
        <f aca="false">IF(D229="","",MIN(Sigma!AA34:AA35))</f>
        <v>5.57212953876349</v>
      </c>
    </row>
    <row r="230" customFormat="false" ht="15" hidden="false" customHeight="true" outlineLevel="0" collapsed="false">
      <c r="A230" s="9" t="s">
        <v>142</v>
      </c>
      <c r="B230" s="11" t="s">
        <v>122</v>
      </c>
      <c r="C230" s="11" t="s">
        <v>27</v>
      </c>
      <c r="D230" s="27" t="n">
        <f aca="false">IF('TEa input'!G20="","",'TEa input'!G20)</f>
        <v>15</v>
      </c>
      <c r="E230" s="28" t="n">
        <f aca="false">IF(D230="","",MIN(Sigma!AB34:AB35))</f>
        <v>7.0441609421001</v>
      </c>
    </row>
    <row r="231" customFormat="false" ht="15" hidden="false" customHeight="true" outlineLevel="0" collapsed="false">
      <c r="A231" s="9" t="s">
        <v>142</v>
      </c>
      <c r="B231" s="11" t="s">
        <v>122</v>
      </c>
      <c r="C231" s="11" t="s">
        <v>28</v>
      </c>
      <c r="D231" s="27" t="n">
        <f aca="false">IF('TEa input'!I20="","",'TEa input'!I20)</f>
        <v>11.5</v>
      </c>
      <c r="E231" s="28" t="n">
        <f aca="false">IF(D231="","",MIN(Sigma!AC34:AC35))</f>
        <v>5.32679097154073</v>
      </c>
    </row>
    <row r="232" customFormat="false" ht="15" hidden="false" customHeight="true" outlineLevel="0" collapsed="false">
      <c r="A232" s="9" t="s">
        <v>142</v>
      </c>
      <c r="B232" s="11" t="s">
        <v>122</v>
      </c>
      <c r="C232" s="11" t="s">
        <v>29</v>
      </c>
      <c r="D232" s="27" t="str">
        <f aca="false">IF('TEa input'!K20="","",'TEa input'!K20)</f>
        <v/>
      </c>
      <c r="E232" s="28" t="str">
        <f aca="false">IF(D232="","",MIN(Sigma!AD34:AD35))</f>
        <v/>
      </c>
    </row>
    <row r="233" customFormat="false" ht="15" hidden="false" customHeight="true" outlineLevel="0" collapsed="false">
      <c r="A233" s="9" t="s">
        <v>142</v>
      </c>
      <c r="B233" s="11" t="s">
        <v>122</v>
      </c>
      <c r="C233" s="11" t="s">
        <v>30</v>
      </c>
      <c r="D233" s="27" t="n">
        <f aca="false">IF('TEa input'!M20="","",'TEa input'!M20)</f>
        <v>12</v>
      </c>
      <c r="E233" s="28" t="n">
        <f aca="false">IF(D233="","",MIN(Sigma!AE34:AE35))</f>
        <v>5.57212953876349</v>
      </c>
    </row>
    <row r="234" customFormat="false" ht="15" hidden="false" customHeight="true" outlineLevel="0" collapsed="false">
      <c r="A234" s="9" t="s">
        <v>142</v>
      </c>
      <c r="B234" s="11" t="s">
        <v>122</v>
      </c>
      <c r="C234" s="11" t="s">
        <v>31</v>
      </c>
      <c r="D234" s="27" t="n">
        <f aca="false">IF('TEa input'!O20="","",'TEa input'!O20)</f>
        <v>15</v>
      </c>
      <c r="E234" s="28" t="n">
        <f aca="false">IF(D234="","",MIN(Sigma!AF34:AF35))</f>
        <v>7.0441609421001</v>
      </c>
    </row>
    <row r="235" customFormat="false" ht="15" hidden="false" customHeight="true" outlineLevel="0" collapsed="false">
      <c r="A235" s="9" t="s">
        <v>142</v>
      </c>
      <c r="B235" s="11" t="s">
        <v>122</v>
      </c>
      <c r="C235" s="11" t="s">
        <v>32</v>
      </c>
      <c r="D235" s="27" t="n">
        <f aca="false">IF('TEa input'!Q20="","",'TEa input'!Q20)</f>
        <v>15</v>
      </c>
      <c r="E235" s="28" t="n">
        <f aca="false">IF(D235="","",MIN(Sigma!AG34:AG35))</f>
        <v>7.0441609421001</v>
      </c>
    </row>
    <row r="236" customFormat="false" ht="15" hidden="false" customHeight="true" outlineLevel="0" collapsed="false">
      <c r="A236" s="9" t="s">
        <v>142</v>
      </c>
      <c r="B236" s="11" t="s">
        <v>122</v>
      </c>
      <c r="C236" s="11" t="s">
        <v>33</v>
      </c>
      <c r="D236" s="27" t="n">
        <f aca="false">IF('TEa input'!R20="","",'TEa input'!R20)</f>
        <v>11.3</v>
      </c>
      <c r="E236" s="28" t="n">
        <f aca="false">IF(D236="","",MIN(Sigma!AH34:AH35))</f>
        <v>5.22865554465162</v>
      </c>
    </row>
    <row r="237" customFormat="false" ht="15" hidden="false" customHeight="true" outlineLevel="0" collapsed="false">
      <c r="A237" s="9" t="s">
        <v>142</v>
      </c>
      <c r="B237" s="11" t="s">
        <v>122</v>
      </c>
      <c r="C237" s="11" t="s">
        <v>34</v>
      </c>
      <c r="D237" s="27" t="n">
        <f aca="false">IF('TEa input'!T20="","",'TEa input'!T20)</f>
        <v>20</v>
      </c>
      <c r="E237" s="28" t="n">
        <f aca="false">IF(D237="","",MIN(Sigma!AI34:AI35))</f>
        <v>9.49754661432777</v>
      </c>
    </row>
    <row r="238" customFormat="false" ht="15" hidden="false" customHeight="true" outlineLevel="0" collapsed="false">
      <c r="A238" s="9" t="s">
        <v>142</v>
      </c>
      <c r="B238" s="11" t="s">
        <v>122</v>
      </c>
      <c r="C238" s="11" t="s">
        <v>320</v>
      </c>
      <c r="D238" s="27" t="str">
        <f aca="false">IF('TEa input'!Y20="","",'TEa input'!Y20)</f>
        <v/>
      </c>
      <c r="E238" s="28" t="str">
        <f aca="false">IF(D238="","",MIN(Sigma!AJ34:AJ35))</f>
        <v/>
      </c>
    </row>
    <row r="239" customFormat="false" ht="15" hidden="false" customHeight="true" outlineLevel="0" collapsed="false">
      <c r="A239" s="9" t="s">
        <v>142</v>
      </c>
      <c r="B239" s="11" t="s">
        <v>122</v>
      </c>
      <c r="C239" s="11" t="s">
        <v>321</v>
      </c>
      <c r="D239" s="27" t="str">
        <f aca="false">IF('TEa input'!Z20="","",'TEa input'!Z20)</f>
        <v/>
      </c>
      <c r="E239" s="28" t="str">
        <f aca="false">IF(D239="","",MIN(Sigma!AK34:AK35))</f>
        <v/>
      </c>
    </row>
    <row r="240" customFormat="false" ht="15" hidden="false" customHeight="true" outlineLevel="0" collapsed="false">
      <c r="A240" s="9" t="s">
        <v>142</v>
      </c>
      <c r="B240" s="11" t="s">
        <v>122</v>
      </c>
      <c r="C240" s="11" t="s">
        <v>322</v>
      </c>
      <c r="D240" s="27" t="str">
        <f aca="false">IF('TEa input'!AA20="","",'TEa input'!AA20)</f>
        <v/>
      </c>
      <c r="E240" s="28" t="str">
        <f aca="false">IF(D240="","",MIN(Sigma!AL34:AL35))</f>
        <v/>
      </c>
    </row>
    <row r="241" customFormat="false" ht="15" hidden="false" customHeight="true" outlineLevel="0" collapsed="false">
      <c r="A241" s="9" t="s">
        <v>142</v>
      </c>
      <c r="B241" s="11" t="s">
        <v>122</v>
      </c>
      <c r="C241" s="11" t="s">
        <v>323</v>
      </c>
      <c r="D241" s="27" t="str">
        <f aca="false">IF('TEa input'!AB20="","",'TEa input'!AB20)</f>
        <v/>
      </c>
      <c r="E241" s="28" t="str">
        <f aca="false">IF(D241="","",MIN(Sigma!AM34:AM35))</f>
        <v/>
      </c>
    </row>
    <row r="242" customFormat="false" ht="15" hidden="false" customHeight="true" outlineLevel="0" collapsed="false">
      <c r="A242" s="9" t="s">
        <v>142</v>
      </c>
      <c r="B242" s="11" t="s">
        <v>122</v>
      </c>
      <c r="C242" s="11" t="s">
        <v>324</v>
      </c>
      <c r="D242" s="27" t="n">
        <f aca="false">IF('TEa input'!AC20="","",'TEa input'!AC20)</f>
        <v>16.69</v>
      </c>
      <c r="E242" s="28" t="n">
        <f aca="false">IF(D242="","",MIN(Sigma!AN34:AN35))</f>
        <v>7.87340529931305</v>
      </c>
    </row>
    <row r="243" customFormat="false" ht="15" hidden="false" customHeight="true" outlineLevel="0" collapsed="false">
      <c r="A243" s="9" t="s">
        <v>142</v>
      </c>
      <c r="B243" s="11" t="s">
        <v>122</v>
      </c>
      <c r="C243" s="11" t="s">
        <v>325</v>
      </c>
      <c r="D243" s="27" t="str">
        <f aca="false">IF('TEa input'!AD20="","",'TEa input'!AD20)</f>
        <v/>
      </c>
      <c r="E243" s="28" t="str">
        <f aca="false">IF(D243="","",MIN(Sigma!AO34:AO35))</f>
        <v/>
      </c>
    </row>
    <row r="244" customFormat="false" ht="15" hidden="false" customHeight="true" outlineLevel="0" collapsed="false">
      <c r="A244" s="9" t="s">
        <v>142</v>
      </c>
      <c r="B244" s="11" t="s">
        <v>122</v>
      </c>
      <c r="C244" s="29" t="str">
        <f aca="false">IF('TEa input'!AE20="","Other",'TEa input'!AE20)</f>
        <v>Other</v>
      </c>
      <c r="D244" s="27" t="str">
        <f aca="false">IF('TEa input'!AF20="","",'TEa input'!AF20)</f>
        <v/>
      </c>
      <c r="E244" s="28" t="str">
        <f aca="false">IF(D244="","",MIN(Sigma!AP34:AP35))</f>
        <v/>
      </c>
    </row>
    <row r="245" customFormat="false" ht="15" hidden="false" customHeight="true" outlineLevel="0" collapsed="false">
      <c r="A245" s="9" t="s">
        <v>143</v>
      </c>
      <c r="B245" s="11" t="s">
        <v>122</v>
      </c>
      <c r="C245" s="11" t="s">
        <v>26</v>
      </c>
      <c r="D245" s="27" t="n">
        <f aca="false">IF('TEa input'!E21="","",'TEa input'!E21)</f>
        <v>12</v>
      </c>
      <c r="E245" s="28" t="n">
        <f aca="false">IF(D245="","",MIN(Sigma!AA36:AA37))</f>
        <v>4.94637620444072</v>
      </c>
    </row>
    <row r="246" customFormat="false" ht="15" hidden="false" customHeight="true" outlineLevel="0" collapsed="false">
      <c r="A246" s="9" t="s">
        <v>143</v>
      </c>
      <c r="B246" s="11" t="s">
        <v>122</v>
      </c>
      <c r="C246" s="11" t="s">
        <v>27</v>
      </c>
      <c r="D246" s="27" t="n">
        <f aca="false">IF('TEa input'!G21="","",'TEa input'!G21)</f>
        <v>20</v>
      </c>
      <c r="E246" s="28" t="n">
        <f aca="false">IF(D246="","",MIN(Sigma!AB36:AB37))</f>
        <v>8.29786342689569</v>
      </c>
    </row>
    <row r="247" customFormat="false" ht="15" hidden="false" customHeight="true" outlineLevel="0" collapsed="false">
      <c r="A247" s="9" t="s">
        <v>143</v>
      </c>
      <c r="B247" s="11" t="s">
        <v>122</v>
      </c>
      <c r="C247" s="11" t="s">
        <v>28</v>
      </c>
      <c r="D247" s="27" t="n">
        <f aca="false">IF('TEa input'!I21="","",'TEa input'!I21)</f>
        <v>11</v>
      </c>
      <c r="E247" s="28" t="n">
        <f aca="false">IF(D247="","",MIN(Sigma!AC36:AC37))</f>
        <v>4.52744030163385</v>
      </c>
    </row>
    <row r="248" customFormat="false" ht="15" hidden="false" customHeight="true" outlineLevel="0" collapsed="false">
      <c r="A248" s="9" t="s">
        <v>143</v>
      </c>
      <c r="B248" s="11" t="s">
        <v>122</v>
      </c>
      <c r="C248" s="11" t="s">
        <v>29</v>
      </c>
      <c r="D248" s="27" t="str">
        <f aca="false">IF('TEa input'!K21="","",'TEa input'!K21)</f>
        <v/>
      </c>
      <c r="E248" s="28" t="str">
        <f aca="false">IF(D248="","",MIN(Sigma!AD36:AD37))</f>
        <v/>
      </c>
    </row>
    <row r="249" customFormat="false" ht="15" hidden="false" customHeight="true" outlineLevel="0" collapsed="false">
      <c r="A249" s="9" t="s">
        <v>143</v>
      </c>
      <c r="B249" s="11" t="s">
        <v>122</v>
      </c>
      <c r="C249" s="11" t="s">
        <v>30</v>
      </c>
      <c r="D249" s="27" t="n">
        <f aca="false">IF('TEa input'!M21="","",'TEa input'!M21)</f>
        <v>12</v>
      </c>
      <c r="E249" s="28" t="n">
        <f aca="false">IF(D249="","",MIN(Sigma!AE36:AE37))</f>
        <v>4.94637620444072</v>
      </c>
    </row>
    <row r="250" customFormat="false" ht="15" hidden="false" customHeight="true" outlineLevel="0" collapsed="false">
      <c r="A250" s="9" t="s">
        <v>143</v>
      </c>
      <c r="B250" s="11" t="s">
        <v>122</v>
      </c>
      <c r="C250" s="11" t="s">
        <v>31</v>
      </c>
      <c r="D250" s="27" t="n">
        <f aca="false">IF('TEa input'!O21="","",'TEa input'!O21)</f>
        <v>18</v>
      </c>
      <c r="E250" s="28" t="n">
        <f aca="false">IF(D250="","",MIN(Sigma!AF36:AF37))</f>
        <v>7.45999162128194</v>
      </c>
    </row>
    <row r="251" customFormat="false" ht="15" hidden="false" customHeight="true" outlineLevel="0" collapsed="false">
      <c r="A251" s="9" t="s">
        <v>143</v>
      </c>
      <c r="B251" s="11" t="s">
        <v>122</v>
      </c>
      <c r="C251" s="11" t="s">
        <v>32</v>
      </c>
      <c r="D251" s="27" t="n">
        <f aca="false">IF('TEa input'!Q21="","",'TEa input'!Q21)</f>
        <v>24</v>
      </c>
      <c r="E251" s="28" t="n">
        <f aca="false">IF(D251="","",MIN(Sigma!AG36:AG37))</f>
        <v>9.97360703812317</v>
      </c>
    </row>
    <row r="252" customFormat="false" ht="15" hidden="false" customHeight="true" outlineLevel="0" collapsed="false">
      <c r="A252" s="9" t="s">
        <v>143</v>
      </c>
      <c r="B252" s="11" t="s">
        <v>122</v>
      </c>
      <c r="C252" s="11" t="s">
        <v>33</v>
      </c>
      <c r="D252" s="27" t="str">
        <f aca="false">IF('TEa input'!R21="","",'TEa input'!R21)</f>
        <v/>
      </c>
      <c r="E252" s="28" t="str">
        <f aca="false">IF(D252="","",MIN(Sigma!AH36:AH37))</f>
        <v/>
      </c>
    </row>
    <row r="253" customFormat="false" ht="15" hidden="false" customHeight="true" outlineLevel="0" collapsed="false">
      <c r="A253" s="9" t="s">
        <v>143</v>
      </c>
      <c r="B253" s="11" t="s">
        <v>122</v>
      </c>
      <c r="C253" s="11" t="s">
        <v>34</v>
      </c>
      <c r="D253" s="27" t="n">
        <f aca="false">IF('TEa input'!T21="","",'TEa input'!T21)</f>
        <v>30</v>
      </c>
      <c r="E253" s="28" t="n">
        <f aca="false">IF(D253="","",MIN(Sigma!AI36:AI37))</f>
        <v>12.4872224549644</v>
      </c>
    </row>
    <row r="254" customFormat="false" ht="15" hidden="false" customHeight="true" outlineLevel="0" collapsed="false">
      <c r="A254" s="9" t="s">
        <v>143</v>
      </c>
      <c r="B254" s="11" t="s">
        <v>122</v>
      </c>
      <c r="C254" s="11" t="s">
        <v>320</v>
      </c>
      <c r="D254" s="27" t="str">
        <f aca="false">IF('TEa input'!Y21="","",'TEa input'!Y21)</f>
        <v/>
      </c>
      <c r="E254" s="28" t="str">
        <f aca="false">IF(D254="","",MIN(Sigma!AJ36:AJ37))</f>
        <v/>
      </c>
    </row>
    <row r="255" customFormat="false" ht="15" hidden="false" customHeight="true" outlineLevel="0" collapsed="false">
      <c r="A255" s="9" t="s">
        <v>143</v>
      </c>
      <c r="B255" s="11" t="s">
        <v>122</v>
      </c>
      <c r="C255" s="11" t="s">
        <v>321</v>
      </c>
      <c r="D255" s="27" t="str">
        <f aca="false">IF('TEa input'!Z21="","",'TEa input'!Z21)</f>
        <v/>
      </c>
      <c r="E255" s="28" t="str">
        <f aca="false">IF(D255="","",MIN(Sigma!AK36:AK37))</f>
        <v/>
      </c>
    </row>
    <row r="256" customFormat="false" ht="15" hidden="false" customHeight="true" outlineLevel="0" collapsed="false">
      <c r="A256" s="9" t="s">
        <v>143</v>
      </c>
      <c r="B256" s="11" t="s">
        <v>122</v>
      </c>
      <c r="C256" s="11" t="s">
        <v>322</v>
      </c>
      <c r="D256" s="27" t="str">
        <f aca="false">IF('TEa input'!AA21="","",'TEa input'!AA21)</f>
        <v/>
      </c>
      <c r="E256" s="28" t="str">
        <f aca="false">IF(D256="","",MIN(Sigma!AL36:AL37))</f>
        <v/>
      </c>
    </row>
    <row r="257" customFormat="false" ht="15" hidden="false" customHeight="true" outlineLevel="0" collapsed="false">
      <c r="A257" s="9" t="s">
        <v>143</v>
      </c>
      <c r="B257" s="11" t="s">
        <v>122</v>
      </c>
      <c r="C257" s="11" t="s">
        <v>323</v>
      </c>
      <c r="D257" s="27" t="str">
        <f aca="false">IF('TEa input'!AB21="","",'TEa input'!AB21)</f>
        <v/>
      </c>
      <c r="E257" s="28" t="str">
        <f aca="false">IF(D257="","",MIN(Sigma!AM36:AM37))</f>
        <v/>
      </c>
    </row>
    <row r="258" customFormat="false" ht="15" hidden="false" customHeight="true" outlineLevel="0" collapsed="false">
      <c r="A258" s="9" t="s">
        <v>143</v>
      </c>
      <c r="B258" s="11" t="s">
        <v>122</v>
      </c>
      <c r="C258" s="11" t="s">
        <v>324</v>
      </c>
      <c r="D258" s="27" t="n">
        <f aca="false">IF('TEa input'!AC21="","",'TEa input'!AC21)</f>
        <v>12.04</v>
      </c>
      <c r="E258" s="28" t="n">
        <f aca="false">IF(D258="","",MIN(Sigma!AN36:AN37))</f>
        <v>4.963133640553</v>
      </c>
    </row>
    <row r="259" customFormat="false" ht="15" hidden="false" customHeight="true" outlineLevel="0" collapsed="false">
      <c r="A259" s="9" t="s">
        <v>143</v>
      </c>
      <c r="B259" s="11" t="s">
        <v>122</v>
      </c>
      <c r="C259" s="11" t="s">
        <v>325</v>
      </c>
      <c r="D259" s="27" t="str">
        <f aca="false">IF('TEa input'!AD21="","",'TEa input'!AD21)</f>
        <v/>
      </c>
      <c r="E259" s="28" t="str">
        <f aca="false">IF(D259="","",MIN(Sigma!AO36:AO37))</f>
        <v/>
      </c>
    </row>
    <row r="260" customFormat="false" ht="15" hidden="false" customHeight="true" outlineLevel="0" collapsed="false">
      <c r="A260" s="9" t="s">
        <v>143</v>
      </c>
      <c r="B260" s="11" t="s">
        <v>122</v>
      </c>
      <c r="C260" s="29" t="str">
        <f aca="false">IF('TEa input'!AE21="","Other",'TEa input'!AE21)</f>
        <v>Other</v>
      </c>
      <c r="D260" s="27" t="str">
        <f aca="false">IF('TEa input'!AF21="","",'TEa input'!AF21)</f>
        <v/>
      </c>
      <c r="E260" s="28" t="str">
        <f aca="false">IF(D260="","",MIN(Sigma!AP36:AP37))</f>
        <v/>
      </c>
    </row>
    <row r="261" customFormat="false" ht="15" hidden="false" customHeight="true" outlineLevel="0" collapsed="false">
      <c r="A261" s="9" t="s">
        <v>148</v>
      </c>
      <c r="B261" s="11" t="s">
        <v>122</v>
      </c>
      <c r="C261" s="11" t="s">
        <v>26</v>
      </c>
      <c r="D261" s="27" t="n">
        <f aca="false">IF('TEa input'!E22="","",'TEa input'!E22)</f>
        <v>12</v>
      </c>
      <c r="E261" s="28" t="n">
        <f aca="false">IF(D261="","",MIN(Sigma!AA38:AA39))</f>
        <v>4.89530535936851</v>
      </c>
    </row>
    <row r="262" customFormat="false" ht="15" hidden="false" customHeight="true" outlineLevel="0" collapsed="false">
      <c r="A262" s="9" t="s">
        <v>148</v>
      </c>
      <c r="B262" s="11" t="s">
        <v>122</v>
      </c>
      <c r="C262" s="11" t="s">
        <v>27</v>
      </c>
      <c r="D262" s="27" t="n">
        <f aca="false">IF('TEa input'!G22="","",'TEa input'!G22)</f>
        <v>15</v>
      </c>
      <c r="E262" s="28" t="n">
        <f aca="false">IF(D262="","",MIN(Sigma!AB38:AB39))</f>
        <v>6.14167012879103</v>
      </c>
    </row>
    <row r="263" customFormat="false" ht="15" hidden="false" customHeight="true" outlineLevel="0" collapsed="false">
      <c r="A263" s="9" t="s">
        <v>148</v>
      </c>
      <c r="B263" s="11" t="s">
        <v>122</v>
      </c>
      <c r="C263" s="11" t="s">
        <v>28</v>
      </c>
      <c r="D263" s="27" t="n">
        <f aca="false">IF('TEa input'!I22="","",'TEa input'!I22)</f>
        <v>11.5</v>
      </c>
      <c r="E263" s="28" t="n">
        <f aca="false">IF(D263="","",MIN(Sigma!AC38:AC39))</f>
        <v>4.68757789779809</v>
      </c>
    </row>
    <row r="264" customFormat="false" ht="15" hidden="false" customHeight="true" outlineLevel="0" collapsed="false">
      <c r="A264" s="9" t="s">
        <v>148</v>
      </c>
      <c r="B264" s="11" t="s">
        <v>122</v>
      </c>
      <c r="C264" s="11" t="s">
        <v>29</v>
      </c>
      <c r="D264" s="27" t="str">
        <f aca="false">IF('TEa input'!K22="","",'TEa input'!K22)</f>
        <v/>
      </c>
      <c r="E264" s="28" t="str">
        <f aca="false">IF(D264="","",MIN(Sigma!AD38:AD39))</f>
        <v/>
      </c>
    </row>
    <row r="265" customFormat="false" ht="15" hidden="false" customHeight="true" outlineLevel="0" collapsed="false">
      <c r="A265" s="9" t="s">
        <v>148</v>
      </c>
      <c r="B265" s="11" t="s">
        <v>122</v>
      </c>
      <c r="C265" s="11" t="s">
        <v>30</v>
      </c>
      <c r="D265" s="27" t="n">
        <f aca="false">IF('TEa input'!M22="","",'TEa input'!M22)</f>
        <v>12</v>
      </c>
      <c r="E265" s="28" t="n">
        <f aca="false">IF(D265="","",MIN(Sigma!AE38:AE39))</f>
        <v>4.89530535936851</v>
      </c>
    </row>
    <row r="266" customFormat="false" ht="15" hidden="false" customHeight="true" outlineLevel="0" collapsed="false">
      <c r="A266" s="9" t="s">
        <v>148</v>
      </c>
      <c r="B266" s="11" t="s">
        <v>122</v>
      </c>
      <c r="C266" s="11" t="s">
        <v>31</v>
      </c>
      <c r="D266" s="27" t="n">
        <f aca="false">IF('TEa input'!O22="","",'TEa input'!O22)</f>
        <v>11</v>
      </c>
      <c r="E266" s="28" t="n">
        <f aca="false">IF(D266="","",MIN(Sigma!AF38:AF39))</f>
        <v>4.47985043622767</v>
      </c>
    </row>
    <row r="267" customFormat="false" ht="15" hidden="false" customHeight="true" outlineLevel="0" collapsed="false">
      <c r="A267" s="9" t="s">
        <v>148</v>
      </c>
      <c r="B267" s="11" t="s">
        <v>122</v>
      </c>
      <c r="C267" s="11" t="s">
        <v>32</v>
      </c>
      <c r="D267" s="27" t="n">
        <f aca="false">IF('TEa input'!Q22="","",'TEa input'!Q22)</f>
        <v>15</v>
      </c>
      <c r="E267" s="28" t="n">
        <f aca="false">IF(D267="","",MIN(Sigma!AG38:AG39))</f>
        <v>6.14167012879103</v>
      </c>
    </row>
    <row r="268" customFormat="false" ht="15" hidden="false" customHeight="true" outlineLevel="0" collapsed="false">
      <c r="A268" s="9" t="s">
        <v>148</v>
      </c>
      <c r="B268" s="11" t="s">
        <v>122</v>
      </c>
      <c r="C268" s="11" t="s">
        <v>33</v>
      </c>
      <c r="D268" s="27" t="n">
        <f aca="false">IF('TEa input'!R22="","",'TEa input'!R22)</f>
        <v>14.2</v>
      </c>
      <c r="E268" s="28" t="n">
        <f aca="false">IF(D268="","",MIN(Sigma!AH38:AH39))</f>
        <v>5.80930619027835</v>
      </c>
    </row>
    <row r="269" customFormat="false" ht="15" hidden="false" customHeight="true" outlineLevel="0" collapsed="false">
      <c r="A269" s="9" t="s">
        <v>148</v>
      </c>
      <c r="B269" s="11" t="s">
        <v>122</v>
      </c>
      <c r="C269" s="11" t="s">
        <v>34</v>
      </c>
      <c r="D269" s="27" t="n">
        <f aca="false">IF('TEa input'!T22="","",'TEa input'!T22)</f>
        <v>20</v>
      </c>
      <c r="E269" s="28" t="n">
        <f aca="false">IF(D269="","",MIN(Sigma!AI38:AI39))</f>
        <v>8.21894474449522</v>
      </c>
    </row>
    <row r="270" customFormat="false" ht="15" hidden="false" customHeight="true" outlineLevel="0" collapsed="false">
      <c r="A270" s="9" t="s">
        <v>148</v>
      </c>
      <c r="B270" s="11" t="s">
        <v>122</v>
      </c>
      <c r="C270" s="11" t="s">
        <v>320</v>
      </c>
      <c r="D270" s="27" t="str">
        <f aca="false">IF('TEa input'!Y22="","",'TEa input'!Y22)</f>
        <v/>
      </c>
      <c r="E270" s="28" t="str">
        <f aca="false">IF(D270="","",MIN(Sigma!AJ38:AJ39))</f>
        <v/>
      </c>
    </row>
    <row r="271" customFormat="false" ht="15" hidden="false" customHeight="true" outlineLevel="0" collapsed="false">
      <c r="A271" s="9" t="s">
        <v>148</v>
      </c>
      <c r="B271" s="11" t="s">
        <v>122</v>
      </c>
      <c r="C271" s="11" t="s">
        <v>321</v>
      </c>
      <c r="D271" s="27" t="str">
        <f aca="false">IF('TEa input'!Z22="","",'TEa input'!Z22)</f>
        <v/>
      </c>
      <c r="E271" s="28" t="str">
        <f aca="false">IF(D271="","",MIN(Sigma!AK38:AK39))</f>
        <v/>
      </c>
    </row>
    <row r="272" customFormat="false" ht="15" hidden="false" customHeight="true" outlineLevel="0" collapsed="false">
      <c r="A272" s="9" t="s">
        <v>148</v>
      </c>
      <c r="B272" s="11" t="s">
        <v>122</v>
      </c>
      <c r="C272" s="11" t="s">
        <v>322</v>
      </c>
      <c r="D272" s="27" t="str">
        <f aca="false">IF('TEa input'!AA22="","",'TEa input'!AA22)</f>
        <v/>
      </c>
      <c r="E272" s="28" t="str">
        <f aca="false">IF(D272="","",MIN(Sigma!AL38:AL39))</f>
        <v/>
      </c>
    </row>
    <row r="273" customFormat="false" ht="15" hidden="false" customHeight="true" outlineLevel="0" collapsed="false">
      <c r="A273" s="9" t="s">
        <v>148</v>
      </c>
      <c r="B273" s="11" t="s">
        <v>122</v>
      </c>
      <c r="C273" s="11" t="s">
        <v>323</v>
      </c>
      <c r="D273" s="27" t="str">
        <f aca="false">IF('TEa input'!AB22="","",'TEa input'!AB22)</f>
        <v/>
      </c>
      <c r="E273" s="28" t="str">
        <f aca="false">IF(D273="","",MIN(Sigma!AM38:AM39))</f>
        <v/>
      </c>
    </row>
    <row r="274" customFormat="false" ht="15" hidden="false" customHeight="true" outlineLevel="0" collapsed="false">
      <c r="A274" s="9" t="s">
        <v>148</v>
      </c>
      <c r="B274" s="11" t="s">
        <v>122</v>
      </c>
      <c r="C274" s="11" t="s">
        <v>324</v>
      </c>
      <c r="D274" s="27" t="n">
        <f aca="false">IF('TEa input'!AC22="","",'TEa input'!AC22)</f>
        <v>22.11</v>
      </c>
      <c r="E274" s="28" t="n">
        <f aca="false">IF(D274="","",MIN(Sigma!AN38:AN39))</f>
        <v>9.09555463232239</v>
      </c>
    </row>
    <row r="275" customFormat="false" ht="15" hidden="false" customHeight="true" outlineLevel="0" collapsed="false">
      <c r="A275" s="9" t="s">
        <v>148</v>
      </c>
      <c r="B275" s="11" t="s">
        <v>122</v>
      </c>
      <c r="C275" s="11" t="s">
        <v>325</v>
      </c>
      <c r="D275" s="27" t="str">
        <f aca="false">IF('TEa input'!AD22="","",'TEa input'!AD22)</f>
        <v/>
      </c>
      <c r="E275" s="28" t="str">
        <f aca="false">IF(D275="","",MIN(Sigma!AO38:AO39))</f>
        <v/>
      </c>
    </row>
    <row r="276" customFormat="false" ht="15" hidden="false" customHeight="true" outlineLevel="0" collapsed="false">
      <c r="A276" s="9" t="s">
        <v>148</v>
      </c>
      <c r="B276" s="11" t="s">
        <v>122</v>
      </c>
      <c r="C276" s="29" t="str">
        <f aca="false">IF('TEa input'!AE22="","Other",'TEa input'!AE22)</f>
        <v>Other</v>
      </c>
      <c r="D276" s="27" t="str">
        <f aca="false">IF('TEa input'!AF22="","",'TEa input'!AF22)</f>
        <v/>
      </c>
      <c r="E276" s="28" t="str">
        <f aca="false">IF(D276="","",MIN(Sigma!AP38:AP39))</f>
        <v/>
      </c>
    </row>
    <row r="277" customFormat="false" ht="15" hidden="false" customHeight="true" outlineLevel="0" collapsed="false">
      <c r="A277" s="9" t="s">
        <v>152</v>
      </c>
      <c r="B277" s="11" t="s">
        <v>122</v>
      </c>
      <c r="C277" s="11" t="s">
        <v>26</v>
      </c>
      <c r="D277" s="27" t="n">
        <f aca="false">IF('TEa input'!E23="","",'TEa input'!E23)</f>
        <v>12</v>
      </c>
      <c r="E277" s="28" t="n">
        <f aca="false">IF(D277="","",MIN(Sigma!AA40:AA41))</f>
        <v>5.23087431693989</v>
      </c>
    </row>
    <row r="278" customFormat="false" ht="15" hidden="false" customHeight="true" outlineLevel="0" collapsed="false">
      <c r="A278" s="9" t="s">
        <v>152</v>
      </c>
      <c r="B278" s="11" t="s">
        <v>122</v>
      </c>
      <c r="C278" s="11" t="s">
        <v>27</v>
      </c>
      <c r="D278" s="27" t="n">
        <f aca="false">IF('TEa input'!G23="","",'TEa input'!G23)</f>
        <v>15</v>
      </c>
      <c r="E278" s="28" t="n">
        <f aca="false">IF(D278="","",MIN(Sigma!AB40:AB41))</f>
        <v>6.59699453551913</v>
      </c>
    </row>
    <row r="279" customFormat="false" ht="15" hidden="false" customHeight="true" outlineLevel="0" collapsed="false">
      <c r="A279" s="9" t="s">
        <v>152</v>
      </c>
      <c r="B279" s="11" t="s">
        <v>122</v>
      </c>
      <c r="C279" s="11" t="s">
        <v>28</v>
      </c>
      <c r="D279" s="27" t="n">
        <f aca="false">IF('TEa input'!I23="","",'TEa input'!I23)</f>
        <v>9</v>
      </c>
      <c r="E279" s="28" t="n">
        <f aca="false">IF(D279="","",MIN(Sigma!AC40:AC41))</f>
        <v>3.86475409836066</v>
      </c>
    </row>
    <row r="280" customFormat="false" ht="15" hidden="false" customHeight="true" outlineLevel="0" collapsed="false">
      <c r="A280" s="9" t="s">
        <v>152</v>
      </c>
      <c r="B280" s="11" t="s">
        <v>122</v>
      </c>
      <c r="C280" s="11" t="s">
        <v>29</v>
      </c>
      <c r="D280" s="27" t="str">
        <f aca="false">IF('TEa input'!K23="","",'TEa input'!K23)</f>
        <v/>
      </c>
      <c r="E280" s="28" t="str">
        <f aca="false">IF(D280="","",MIN(Sigma!AD40:AD41))</f>
        <v/>
      </c>
    </row>
    <row r="281" customFormat="false" ht="15" hidden="false" customHeight="true" outlineLevel="0" collapsed="false">
      <c r="A281" s="9" t="s">
        <v>152</v>
      </c>
      <c r="B281" s="11" t="s">
        <v>122</v>
      </c>
      <c r="C281" s="11" t="s">
        <v>30</v>
      </c>
      <c r="D281" s="27" t="n">
        <f aca="false">IF('TEa input'!M23="","",'TEa input'!M23)</f>
        <v>8</v>
      </c>
      <c r="E281" s="28" t="n">
        <f aca="false">IF(D281="","",MIN(Sigma!AE40:AE41))</f>
        <v>3.40938069216758</v>
      </c>
    </row>
    <row r="282" customFormat="false" ht="15" hidden="false" customHeight="true" outlineLevel="0" collapsed="false">
      <c r="A282" s="9" t="s">
        <v>152</v>
      </c>
      <c r="B282" s="11" t="s">
        <v>122</v>
      </c>
      <c r="C282" s="11" t="s">
        <v>31</v>
      </c>
      <c r="D282" s="27" t="n">
        <f aca="false">IF('TEa input'!O23="","",'TEa input'!O23)</f>
        <v>11</v>
      </c>
      <c r="E282" s="28" t="n">
        <f aca="false">IF(D282="","",MIN(Sigma!AF40:AF41))</f>
        <v>4.77550091074681</v>
      </c>
    </row>
    <row r="283" customFormat="false" ht="15" hidden="false" customHeight="true" outlineLevel="0" collapsed="false">
      <c r="A283" s="9" t="s">
        <v>152</v>
      </c>
      <c r="B283" s="11" t="s">
        <v>122</v>
      </c>
      <c r="C283" s="11" t="s">
        <v>32</v>
      </c>
      <c r="D283" s="27" t="n">
        <f aca="false">IF('TEa input'!Q23="","",'TEa input'!Q23)</f>
        <v>21</v>
      </c>
      <c r="E283" s="28" t="n">
        <f aca="false">IF(D283="","",MIN(Sigma!AG40:AG41))</f>
        <v>9.3292349726776</v>
      </c>
    </row>
    <row r="284" customFormat="false" ht="15" hidden="false" customHeight="true" outlineLevel="0" collapsed="false">
      <c r="A284" s="9" t="s">
        <v>152</v>
      </c>
      <c r="B284" s="11" t="s">
        <v>122</v>
      </c>
      <c r="C284" s="11" t="s">
        <v>33</v>
      </c>
      <c r="D284" s="27" t="n">
        <f aca="false">IF('TEa input'!R23="","",'TEa input'!R23)</f>
        <v>10.7</v>
      </c>
      <c r="E284" s="28" t="n">
        <f aca="false">IF(D284="","",MIN(Sigma!AH40:AH41))</f>
        <v>4.63888888888889</v>
      </c>
    </row>
    <row r="285" customFormat="false" ht="15" hidden="false" customHeight="true" outlineLevel="0" collapsed="false">
      <c r="A285" s="9" t="s">
        <v>152</v>
      </c>
      <c r="B285" s="11" t="s">
        <v>122</v>
      </c>
      <c r="C285" s="11" t="s">
        <v>34</v>
      </c>
      <c r="D285" s="27" t="str">
        <f aca="false">IF('TEa input'!T23="","",'TEa input'!T23)</f>
        <v/>
      </c>
      <c r="E285" s="28" t="str">
        <f aca="false">IF(D285="","",MIN(Sigma!AI40:AI41))</f>
        <v/>
      </c>
    </row>
    <row r="286" customFormat="false" ht="15" hidden="false" customHeight="true" outlineLevel="0" collapsed="false">
      <c r="A286" s="9" t="s">
        <v>152</v>
      </c>
      <c r="B286" s="11" t="s">
        <v>122</v>
      </c>
      <c r="C286" s="11" t="s">
        <v>320</v>
      </c>
      <c r="D286" s="27" t="str">
        <f aca="false">IF('TEa input'!Y23="","",'TEa input'!Y23)</f>
        <v/>
      </c>
      <c r="E286" s="28" t="str">
        <f aca="false">IF(D286="","",MIN(Sigma!AJ40:AJ41))</f>
        <v/>
      </c>
    </row>
    <row r="287" customFormat="false" ht="15" hidden="false" customHeight="true" outlineLevel="0" collapsed="false">
      <c r="A287" s="9" t="s">
        <v>152</v>
      </c>
      <c r="B287" s="11" t="s">
        <v>122</v>
      </c>
      <c r="C287" s="11" t="s">
        <v>321</v>
      </c>
      <c r="D287" s="27" t="str">
        <f aca="false">IF('TEa input'!Z23="","",'TEa input'!Z23)</f>
        <v/>
      </c>
      <c r="E287" s="28" t="str">
        <f aca="false">IF(D287="","",MIN(Sigma!AK40:AK41))</f>
        <v/>
      </c>
    </row>
    <row r="288" customFormat="false" ht="15" hidden="false" customHeight="true" outlineLevel="0" collapsed="false">
      <c r="A288" s="9" t="s">
        <v>152</v>
      </c>
      <c r="B288" s="11" t="s">
        <v>122</v>
      </c>
      <c r="C288" s="11" t="s">
        <v>322</v>
      </c>
      <c r="D288" s="27" t="str">
        <f aca="false">IF('TEa input'!AA23="","",'TEa input'!AA23)</f>
        <v/>
      </c>
      <c r="E288" s="28" t="str">
        <f aca="false">IF(D288="","",MIN(Sigma!AL40:AL41))</f>
        <v/>
      </c>
    </row>
    <row r="289" customFormat="false" ht="15" hidden="false" customHeight="true" outlineLevel="0" collapsed="false">
      <c r="A289" s="9" t="s">
        <v>152</v>
      </c>
      <c r="B289" s="11" t="s">
        <v>122</v>
      </c>
      <c r="C289" s="11" t="s">
        <v>323</v>
      </c>
      <c r="D289" s="27" t="str">
        <f aca="false">IF('TEa input'!AB23="","",'TEa input'!AB23)</f>
        <v/>
      </c>
      <c r="E289" s="28" t="str">
        <f aca="false">IF(D289="","",MIN(Sigma!AM40:AM41))</f>
        <v/>
      </c>
    </row>
    <row r="290" customFormat="false" ht="15" hidden="false" customHeight="true" outlineLevel="0" collapsed="false">
      <c r="A290" s="9" t="s">
        <v>152</v>
      </c>
      <c r="B290" s="11" t="s">
        <v>122</v>
      </c>
      <c r="C290" s="11" t="s">
        <v>324</v>
      </c>
      <c r="D290" s="27" t="n">
        <f aca="false">IF('TEa input'!AC23="","",'TEa input'!AC23)</f>
        <v>11.4</v>
      </c>
      <c r="E290" s="28" t="n">
        <f aca="false">IF(D290="","",MIN(Sigma!AN40:AN41))</f>
        <v>4.95765027322404</v>
      </c>
    </row>
    <row r="291" customFormat="false" ht="15" hidden="false" customHeight="true" outlineLevel="0" collapsed="false">
      <c r="A291" s="9" t="s">
        <v>152</v>
      </c>
      <c r="B291" s="11" t="s">
        <v>122</v>
      </c>
      <c r="C291" s="11" t="s">
        <v>325</v>
      </c>
      <c r="D291" s="27" t="str">
        <f aca="false">IF('TEa input'!AD23="","",'TEa input'!AD23)</f>
        <v/>
      </c>
      <c r="E291" s="28" t="str">
        <f aca="false">IF(D291="","",MIN(Sigma!AO40:AO41))</f>
        <v/>
      </c>
    </row>
    <row r="292" customFormat="false" ht="15" hidden="false" customHeight="true" outlineLevel="0" collapsed="false">
      <c r="A292" s="9" t="s">
        <v>152</v>
      </c>
      <c r="B292" s="11" t="s">
        <v>122</v>
      </c>
      <c r="C292" s="29" t="str">
        <f aca="false">IF('TEa input'!AE23="","Other",'TEa input'!AE23)</f>
        <v>Other</v>
      </c>
      <c r="D292" s="27" t="str">
        <f aca="false">IF('TEa input'!AF23="","",'TEa input'!AF23)</f>
        <v/>
      </c>
      <c r="E292" s="28" t="str">
        <f aca="false">IF(D292="","",MIN(Sigma!AP40:AP41))</f>
        <v/>
      </c>
    </row>
    <row r="293" customFormat="false" ht="15" hidden="false" customHeight="true" outlineLevel="0" collapsed="false">
      <c r="A293" s="9" t="s">
        <v>155</v>
      </c>
      <c r="B293" s="11" t="s">
        <v>122</v>
      </c>
      <c r="C293" s="11" t="s">
        <v>26</v>
      </c>
      <c r="D293" s="27" t="n">
        <f aca="false">IF('TEa input'!E24="","",'TEa input'!E24)</f>
        <v>12</v>
      </c>
      <c r="E293" s="28" t="n">
        <f aca="false">IF(D293="","",MIN(Sigma!AA42:AA43))</f>
        <v>3.38788584740827</v>
      </c>
    </row>
    <row r="294" customFormat="false" ht="15" hidden="false" customHeight="true" outlineLevel="0" collapsed="false">
      <c r="A294" s="9" t="s">
        <v>155</v>
      </c>
      <c r="B294" s="11" t="s">
        <v>122</v>
      </c>
      <c r="C294" s="11" t="s">
        <v>27</v>
      </c>
      <c r="D294" s="27" t="n">
        <f aca="false">IF('TEa input'!G24="","",'TEa input'!G24)</f>
        <v>20</v>
      </c>
      <c r="E294" s="28" t="n">
        <f aca="false">IF(D294="","",MIN(Sigma!AB42:AB43))</f>
        <v>5.71753057658707</v>
      </c>
    </row>
    <row r="295" customFormat="false" ht="15" hidden="false" customHeight="true" outlineLevel="0" collapsed="false">
      <c r="A295" s="9" t="s">
        <v>155</v>
      </c>
      <c r="B295" s="11" t="s">
        <v>122</v>
      </c>
      <c r="C295" s="11" t="s">
        <v>28</v>
      </c>
      <c r="D295" s="27" t="n">
        <f aca="false">IF('TEa input'!I24="","",'TEa input'!I24)</f>
        <v>11</v>
      </c>
      <c r="E295" s="28" t="n">
        <f aca="false">IF(D295="","",MIN(Sigma!AC42:AC43))</f>
        <v>3.09668025626092</v>
      </c>
    </row>
    <row r="296" customFormat="false" ht="15" hidden="false" customHeight="true" outlineLevel="0" collapsed="false">
      <c r="A296" s="9" t="s">
        <v>155</v>
      </c>
      <c r="B296" s="11" t="s">
        <v>122</v>
      </c>
      <c r="C296" s="11" t="s">
        <v>29</v>
      </c>
      <c r="D296" s="27" t="str">
        <f aca="false">IF('TEa input'!K24="","",'TEa input'!K24)</f>
        <v/>
      </c>
      <c r="E296" s="28" t="str">
        <f aca="false">IF(D296="","",MIN(Sigma!AD42:AD43))</f>
        <v/>
      </c>
    </row>
    <row r="297" customFormat="false" ht="15" hidden="false" customHeight="true" outlineLevel="0" collapsed="false">
      <c r="A297" s="9" t="s">
        <v>155</v>
      </c>
      <c r="B297" s="11" t="s">
        <v>122</v>
      </c>
      <c r="C297" s="11" t="s">
        <v>30</v>
      </c>
      <c r="D297" s="27" t="n">
        <f aca="false">IF('TEa input'!M24="","",'TEa input'!M24)</f>
        <v>12</v>
      </c>
      <c r="E297" s="28" t="n">
        <f aca="false">IF(D297="","",MIN(Sigma!AE42:AE43))</f>
        <v>3.38788584740827</v>
      </c>
    </row>
    <row r="298" customFormat="false" ht="15" hidden="false" customHeight="true" outlineLevel="0" collapsed="false">
      <c r="A298" s="9" t="s">
        <v>155</v>
      </c>
      <c r="B298" s="11" t="s">
        <v>122</v>
      </c>
      <c r="C298" s="11" t="s">
        <v>31</v>
      </c>
      <c r="D298" s="27" t="n">
        <f aca="false">IF('TEa input'!O24="","",'TEa input'!O24)</f>
        <v>15</v>
      </c>
      <c r="E298" s="28" t="n">
        <f aca="false">IF(D298="","",MIN(Sigma!AF42:AF43))</f>
        <v>4.26150262085032</v>
      </c>
    </row>
    <row r="299" customFormat="false" ht="15" hidden="false" customHeight="true" outlineLevel="0" collapsed="false">
      <c r="A299" s="9" t="s">
        <v>155</v>
      </c>
      <c r="B299" s="11" t="s">
        <v>122</v>
      </c>
      <c r="C299" s="11" t="s">
        <v>32</v>
      </c>
      <c r="D299" s="27" t="n">
        <f aca="false">IF('TEa input'!Q24="","",'TEa input'!Q24)</f>
        <v>21</v>
      </c>
      <c r="E299" s="28" t="n">
        <f aca="false">IF(D299="","",MIN(Sigma!AG42:AG43))</f>
        <v>6.00873616773442</v>
      </c>
    </row>
    <row r="300" customFormat="false" ht="15" hidden="false" customHeight="true" outlineLevel="0" collapsed="false">
      <c r="A300" s="9" t="s">
        <v>155</v>
      </c>
      <c r="B300" s="11" t="s">
        <v>122</v>
      </c>
      <c r="C300" s="11" t="s">
        <v>33</v>
      </c>
      <c r="D300" s="27" t="str">
        <f aca="false">IF('TEa input'!R24="","",'TEa input'!R24)</f>
        <v/>
      </c>
      <c r="E300" s="28" t="str">
        <f aca="false">IF(D300="","",MIN(Sigma!AH42:AH43))</f>
        <v/>
      </c>
    </row>
    <row r="301" customFormat="false" ht="15" hidden="false" customHeight="true" outlineLevel="0" collapsed="false">
      <c r="A301" s="9" t="s">
        <v>155</v>
      </c>
      <c r="B301" s="11" t="s">
        <v>122</v>
      </c>
      <c r="C301" s="11" t="s">
        <v>34</v>
      </c>
      <c r="D301" s="27" t="n">
        <f aca="false">IF('TEa input'!T24="","",'TEa input'!T24)</f>
        <v>20</v>
      </c>
      <c r="E301" s="28" t="n">
        <f aca="false">IF(D301="","",MIN(Sigma!AI42:AI43))</f>
        <v>5.71753057658707</v>
      </c>
    </row>
    <row r="302" customFormat="false" ht="15" hidden="false" customHeight="true" outlineLevel="0" collapsed="false">
      <c r="A302" s="9" t="s">
        <v>155</v>
      </c>
      <c r="B302" s="11" t="s">
        <v>122</v>
      </c>
      <c r="C302" s="11" t="s">
        <v>320</v>
      </c>
      <c r="D302" s="27" t="str">
        <f aca="false">IF('TEa input'!Y24="","",'TEa input'!Y24)</f>
        <v/>
      </c>
      <c r="E302" s="28" t="str">
        <f aca="false">IF(D302="","",MIN(Sigma!AJ42:AJ43))</f>
        <v/>
      </c>
    </row>
    <row r="303" customFormat="false" ht="15" hidden="false" customHeight="true" outlineLevel="0" collapsed="false">
      <c r="A303" s="9" t="s">
        <v>155</v>
      </c>
      <c r="B303" s="11" t="s">
        <v>122</v>
      </c>
      <c r="C303" s="11" t="s">
        <v>321</v>
      </c>
      <c r="D303" s="27" t="str">
        <f aca="false">IF('TEa input'!Z24="","",'TEa input'!Z24)</f>
        <v/>
      </c>
      <c r="E303" s="28" t="str">
        <f aca="false">IF(D303="","",MIN(Sigma!AK42:AK43))</f>
        <v/>
      </c>
    </row>
    <row r="304" customFormat="false" ht="15" hidden="false" customHeight="true" outlineLevel="0" collapsed="false">
      <c r="A304" s="9" t="s">
        <v>155</v>
      </c>
      <c r="B304" s="11" t="s">
        <v>122</v>
      </c>
      <c r="C304" s="11" t="s">
        <v>322</v>
      </c>
      <c r="D304" s="27" t="str">
        <f aca="false">IF('TEa input'!AA24="","",'TEa input'!AA24)</f>
        <v/>
      </c>
      <c r="E304" s="28" t="str">
        <f aca="false">IF(D304="","",MIN(Sigma!AL42:AL43))</f>
        <v/>
      </c>
    </row>
    <row r="305" customFormat="false" ht="15" hidden="false" customHeight="true" outlineLevel="0" collapsed="false">
      <c r="A305" s="9" t="s">
        <v>155</v>
      </c>
      <c r="B305" s="11" t="s">
        <v>122</v>
      </c>
      <c r="C305" s="11" t="s">
        <v>323</v>
      </c>
      <c r="D305" s="27" t="str">
        <f aca="false">IF('TEa input'!AB24="","",'TEa input'!AB24)</f>
        <v/>
      </c>
      <c r="E305" s="28" t="str">
        <f aca="false">IF(D305="","",MIN(Sigma!AM42:AM43))</f>
        <v/>
      </c>
    </row>
    <row r="306" customFormat="false" ht="15" hidden="false" customHeight="true" outlineLevel="0" collapsed="false">
      <c r="A306" s="9" t="s">
        <v>155</v>
      </c>
      <c r="B306" s="11" t="s">
        <v>122</v>
      </c>
      <c r="C306" s="11" t="s">
        <v>324</v>
      </c>
      <c r="D306" s="27" t="n">
        <f aca="false">IF('TEa input'!AC24="","",'TEa input'!AC24)</f>
        <v>30.3</v>
      </c>
      <c r="E306" s="28" t="n">
        <f aca="false">IF(D306="","",MIN(Sigma!AN42:AN43))</f>
        <v>8.71694816540478</v>
      </c>
    </row>
    <row r="307" customFormat="false" ht="15" hidden="false" customHeight="true" outlineLevel="0" collapsed="false">
      <c r="A307" s="9" t="s">
        <v>155</v>
      </c>
      <c r="B307" s="11" t="s">
        <v>122</v>
      </c>
      <c r="C307" s="11" t="s">
        <v>325</v>
      </c>
      <c r="D307" s="27" t="str">
        <f aca="false">IF('TEa input'!AD24="","",'TEa input'!AD24)</f>
        <v/>
      </c>
      <c r="E307" s="28" t="str">
        <f aca="false">IF(D307="","",MIN(Sigma!AO42:AO43))</f>
        <v/>
      </c>
    </row>
    <row r="308" customFormat="false" ht="15" hidden="false" customHeight="true" outlineLevel="0" collapsed="false">
      <c r="A308" s="9" t="s">
        <v>155</v>
      </c>
      <c r="B308" s="11" t="s">
        <v>122</v>
      </c>
      <c r="C308" s="29" t="str">
        <f aca="false">IF('TEa input'!AE24="","Other",'TEa input'!AE24)</f>
        <v>Other</v>
      </c>
      <c r="D308" s="27" t="str">
        <f aca="false">IF('TEa input'!AF24="","",'TEa input'!AF24)</f>
        <v/>
      </c>
      <c r="E308" s="28" t="str">
        <f aca="false">IF(D308="","",MIN(Sigma!AP42:AP43))</f>
        <v/>
      </c>
    </row>
    <row r="309" customFormat="false" ht="15" hidden="false" customHeight="true" outlineLevel="0" collapsed="false">
      <c r="A309" s="9" t="s">
        <v>157</v>
      </c>
      <c r="B309" s="11" t="s">
        <v>122</v>
      </c>
      <c r="C309" s="11" t="s">
        <v>26</v>
      </c>
      <c r="D309" s="27" t="n">
        <f aca="false">IF('TEa input'!E25="","",'TEa input'!E25)</f>
        <v>12</v>
      </c>
      <c r="E309" s="28" t="n">
        <f aca="false">IF(D309="","",MIN(Sigma!AA44:AA45))</f>
        <v>11.0995305164319</v>
      </c>
    </row>
    <row r="310" customFormat="false" ht="15" hidden="false" customHeight="true" outlineLevel="0" collapsed="false">
      <c r="A310" s="9" t="s">
        <v>157</v>
      </c>
      <c r="B310" s="11" t="s">
        <v>122</v>
      </c>
      <c r="C310" s="11" t="s">
        <v>27</v>
      </c>
      <c r="D310" s="27" t="n">
        <f aca="false">IF('TEa input'!G25="","",'TEa input'!G25)</f>
        <v>20</v>
      </c>
      <c r="E310" s="28" t="n">
        <f aca="false">IF(D310="","",MIN(Sigma!AB44:AB45))</f>
        <v>18.6112676056338</v>
      </c>
    </row>
    <row r="311" customFormat="false" ht="15" hidden="false" customHeight="true" outlineLevel="0" collapsed="false">
      <c r="A311" s="9" t="s">
        <v>157</v>
      </c>
      <c r="B311" s="11" t="s">
        <v>122</v>
      </c>
      <c r="C311" s="11" t="s">
        <v>28</v>
      </c>
      <c r="D311" s="27" t="n">
        <f aca="false">IF('TEa input'!I25="","",'TEa input'!I25)</f>
        <v>7</v>
      </c>
      <c r="E311" s="28" t="n">
        <f aca="false">IF(D311="","",MIN(Sigma!AC44:AC45))</f>
        <v>6.40469483568075</v>
      </c>
    </row>
    <row r="312" customFormat="false" ht="15" hidden="false" customHeight="true" outlineLevel="0" collapsed="false">
      <c r="A312" s="9" t="s">
        <v>157</v>
      </c>
      <c r="B312" s="11" t="s">
        <v>122</v>
      </c>
      <c r="C312" s="11" t="s">
        <v>29</v>
      </c>
      <c r="D312" s="27" t="str">
        <f aca="false">IF('TEa input'!K25="","",'TEa input'!K25)</f>
        <v/>
      </c>
      <c r="E312" s="28" t="str">
        <f aca="false">IF(D312="","",MIN(Sigma!AD44:AD45))</f>
        <v/>
      </c>
    </row>
    <row r="313" customFormat="false" ht="15" hidden="false" customHeight="true" outlineLevel="0" collapsed="false">
      <c r="A313" s="9" t="s">
        <v>157</v>
      </c>
      <c r="B313" s="11" t="s">
        <v>122</v>
      </c>
      <c r="C313" s="11" t="s">
        <v>30</v>
      </c>
      <c r="D313" s="27" t="n">
        <f aca="false">IF('TEa input'!M25="","",'TEa input'!M25)</f>
        <v>10</v>
      </c>
      <c r="E313" s="28" t="n">
        <f aca="false">IF(D313="","",MIN(Sigma!AE44:AE45))</f>
        <v>9.22159624413146</v>
      </c>
    </row>
    <row r="314" customFormat="false" ht="15" hidden="false" customHeight="true" outlineLevel="0" collapsed="false">
      <c r="A314" s="9" t="s">
        <v>157</v>
      </c>
      <c r="B314" s="11" t="s">
        <v>122</v>
      </c>
      <c r="C314" s="11" t="s">
        <v>31</v>
      </c>
      <c r="D314" s="27" t="n">
        <f aca="false">IF('TEa input'!O25="","",'TEa input'!O25)</f>
        <v>15</v>
      </c>
      <c r="E314" s="28" t="n">
        <f aca="false">IF(D314="","",MIN(Sigma!AF44:AF45))</f>
        <v>13.9164319248826</v>
      </c>
    </row>
    <row r="315" customFormat="false" ht="15" hidden="false" customHeight="true" outlineLevel="0" collapsed="false">
      <c r="A315" s="9" t="s">
        <v>157</v>
      </c>
      <c r="B315" s="11" t="s">
        <v>122</v>
      </c>
      <c r="C315" s="11" t="s">
        <v>32</v>
      </c>
      <c r="D315" s="27" t="n">
        <f aca="false">IF('TEa input'!Q25="","",'TEa input'!Q25)</f>
        <v>15</v>
      </c>
      <c r="E315" s="28" t="n">
        <f aca="false">IF(D315="","",MIN(Sigma!AG44:AG45))</f>
        <v>13.9164319248826</v>
      </c>
    </row>
    <row r="316" customFormat="false" ht="15" hidden="false" customHeight="true" outlineLevel="0" collapsed="false">
      <c r="A316" s="9" t="s">
        <v>157</v>
      </c>
      <c r="B316" s="11" t="s">
        <v>122</v>
      </c>
      <c r="C316" s="11" t="s">
        <v>33</v>
      </c>
      <c r="D316" s="27" t="str">
        <f aca="false">IF('TEa input'!R25="","",'TEa input'!R25)</f>
        <v/>
      </c>
      <c r="E316" s="28" t="str">
        <f aca="false">IF(D316="","",MIN(Sigma!AH44:AH45))</f>
        <v/>
      </c>
    </row>
    <row r="317" customFormat="false" ht="15" hidden="false" customHeight="true" outlineLevel="0" collapsed="false">
      <c r="A317" s="9" t="s">
        <v>157</v>
      </c>
      <c r="B317" s="11" t="s">
        <v>122</v>
      </c>
      <c r="C317" s="11" t="s">
        <v>34</v>
      </c>
      <c r="D317" s="27" t="str">
        <f aca="false">IF('TEa input'!T25="","",'TEa input'!T25)</f>
        <v/>
      </c>
      <c r="E317" s="28" t="str">
        <f aca="false">IF(D317="","",MIN(Sigma!AI44:AI45))</f>
        <v/>
      </c>
    </row>
    <row r="318" customFormat="false" ht="15" hidden="false" customHeight="true" outlineLevel="0" collapsed="false">
      <c r="A318" s="9" t="s">
        <v>157</v>
      </c>
      <c r="B318" s="11" t="s">
        <v>122</v>
      </c>
      <c r="C318" s="11" t="s">
        <v>320</v>
      </c>
      <c r="D318" s="27" t="str">
        <f aca="false">IF('TEa input'!Y25="","",'TEa input'!Y25)</f>
        <v/>
      </c>
      <c r="E318" s="28" t="str">
        <f aca="false">IF(D318="","",MIN(Sigma!AJ44:AJ45))</f>
        <v/>
      </c>
    </row>
    <row r="319" customFormat="false" ht="15" hidden="false" customHeight="true" outlineLevel="0" collapsed="false">
      <c r="A319" s="9" t="s">
        <v>157</v>
      </c>
      <c r="B319" s="11" t="s">
        <v>122</v>
      </c>
      <c r="C319" s="11" t="s">
        <v>321</v>
      </c>
      <c r="D319" s="27" t="str">
        <f aca="false">IF('TEa input'!Z25="","",'TEa input'!Z25)</f>
        <v/>
      </c>
      <c r="E319" s="28" t="str">
        <f aca="false">IF(D319="","",MIN(Sigma!AK44:AK45))</f>
        <v/>
      </c>
    </row>
    <row r="320" customFormat="false" ht="15" hidden="false" customHeight="true" outlineLevel="0" collapsed="false">
      <c r="A320" s="9" t="s">
        <v>157</v>
      </c>
      <c r="B320" s="11" t="s">
        <v>122</v>
      </c>
      <c r="C320" s="11" t="s">
        <v>322</v>
      </c>
      <c r="D320" s="27" t="str">
        <f aca="false">IF('TEa input'!AA25="","",'TEa input'!AA25)</f>
        <v/>
      </c>
      <c r="E320" s="28" t="str">
        <f aca="false">IF(D320="","",MIN(Sigma!AL44:AL45))</f>
        <v/>
      </c>
    </row>
    <row r="321" customFormat="false" ht="15" hidden="false" customHeight="true" outlineLevel="0" collapsed="false">
      <c r="A321" s="9" t="s">
        <v>157</v>
      </c>
      <c r="B321" s="11" t="s">
        <v>122</v>
      </c>
      <c r="C321" s="11" t="s">
        <v>323</v>
      </c>
      <c r="D321" s="27" t="str">
        <f aca="false">IF('TEa input'!AB25="","",'TEa input'!AB25)</f>
        <v/>
      </c>
      <c r="E321" s="28" t="str">
        <f aca="false">IF(D321="","",MIN(Sigma!AM44:AM45))</f>
        <v/>
      </c>
    </row>
    <row r="322" customFormat="false" ht="15" hidden="false" customHeight="true" outlineLevel="0" collapsed="false">
      <c r="A322" s="9" t="s">
        <v>157</v>
      </c>
      <c r="B322" s="11" t="s">
        <v>122</v>
      </c>
      <c r="C322" s="11" t="s">
        <v>324</v>
      </c>
      <c r="D322" s="27" t="n">
        <f aca="false">IF('TEa input'!AC25="","",'TEa input'!AC25)</f>
        <v>14.6</v>
      </c>
      <c r="E322" s="28" t="n">
        <f aca="false">IF(D322="","",MIN(Sigma!AN44:AN45))</f>
        <v>13.5408450704225</v>
      </c>
    </row>
    <row r="323" customFormat="false" ht="15" hidden="false" customHeight="true" outlineLevel="0" collapsed="false">
      <c r="A323" s="9" t="s">
        <v>157</v>
      </c>
      <c r="B323" s="11" t="s">
        <v>122</v>
      </c>
      <c r="C323" s="11" t="s">
        <v>325</v>
      </c>
      <c r="D323" s="27" t="str">
        <f aca="false">IF('TEa input'!AD25="","",'TEa input'!AD25)</f>
        <v/>
      </c>
      <c r="E323" s="28" t="str">
        <f aca="false">IF(D323="","",MIN(Sigma!AO44:AO45))</f>
        <v/>
      </c>
    </row>
    <row r="324" customFormat="false" ht="15" hidden="false" customHeight="true" outlineLevel="0" collapsed="false">
      <c r="A324" s="9" t="s">
        <v>157</v>
      </c>
      <c r="B324" s="11" t="s">
        <v>122</v>
      </c>
      <c r="C324" s="29" t="str">
        <f aca="false">IF('TEa input'!AE25="","Other",'TEa input'!AE25)</f>
        <v>Other</v>
      </c>
      <c r="D324" s="27" t="str">
        <f aca="false">IF('TEa input'!AF25="","",'TEa input'!AF25)</f>
        <v/>
      </c>
      <c r="E324" s="28" t="str">
        <f aca="false">IF(D324="","",MIN(Sigma!AP44:AP45))</f>
        <v/>
      </c>
    </row>
    <row r="325" customFormat="false" ht="15" hidden="false" customHeight="true" outlineLevel="0" collapsed="false">
      <c r="A325" s="9" t="s">
        <v>160</v>
      </c>
      <c r="B325" s="11" t="s">
        <v>122</v>
      </c>
      <c r="C325" s="11" t="s">
        <v>26</v>
      </c>
      <c r="D325" s="27" t="n">
        <f aca="false">IF('TEa input'!E26="","",'TEa input'!E26)</f>
        <v>12</v>
      </c>
      <c r="E325" s="28" t="n">
        <f aca="false">IF(D325="","",MIN(Sigma!AA46:AA47))</f>
        <v>2.22442431106078</v>
      </c>
    </row>
    <row r="326" customFormat="false" ht="15" hidden="false" customHeight="true" outlineLevel="0" collapsed="false">
      <c r="A326" s="9" t="s">
        <v>160</v>
      </c>
      <c r="B326" s="11" t="s">
        <v>122</v>
      </c>
      <c r="C326" s="11" t="s">
        <v>27</v>
      </c>
      <c r="D326" s="27" t="str">
        <f aca="false">IF('TEa input'!G26="","",'TEa input'!G26)</f>
        <v/>
      </c>
      <c r="E326" s="28" t="str">
        <f aca="false">IF(D326="","",MIN(Sigma!AB46:AB47))</f>
        <v/>
      </c>
    </row>
    <row r="327" customFormat="false" ht="15" hidden="false" customHeight="true" outlineLevel="0" collapsed="false">
      <c r="A327" s="9" t="s">
        <v>160</v>
      </c>
      <c r="B327" s="11" t="s">
        <v>122</v>
      </c>
      <c r="C327" s="11" t="s">
        <v>28</v>
      </c>
      <c r="D327" s="27" t="n">
        <f aca="false">IF('TEa input'!I26="","",'TEa input'!I26)</f>
        <v>11</v>
      </c>
      <c r="E327" s="28" t="n">
        <f aca="false">IF(D327="","",MIN(Sigma!AC46:AC47))</f>
        <v>2.0356738391846</v>
      </c>
    </row>
    <row r="328" customFormat="false" ht="15" hidden="false" customHeight="true" outlineLevel="0" collapsed="false">
      <c r="A328" s="9" t="s">
        <v>160</v>
      </c>
      <c r="B328" s="11" t="s">
        <v>122</v>
      </c>
      <c r="C328" s="11" t="s">
        <v>29</v>
      </c>
      <c r="D328" s="27" t="str">
        <f aca="false">IF('TEa input'!K26="","",'TEa input'!K26)</f>
        <v/>
      </c>
      <c r="E328" s="28" t="str">
        <f aca="false">IF(D328="","",MIN(Sigma!AD46:AD47))</f>
        <v/>
      </c>
    </row>
    <row r="329" customFormat="false" ht="15" hidden="false" customHeight="true" outlineLevel="0" collapsed="false">
      <c r="A329" s="9" t="s">
        <v>160</v>
      </c>
      <c r="B329" s="11" t="s">
        <v>122</v>
      </c>
      <c r="C329" s="11" t="s">
        <v>30</v>
      </c>
      <c r="D329" s="27" t="n">
        <f aca="false">IF('TEa input'!M26="","",'TEa input'!M26)</f>
        <v>20</v>
      </c>
      <c r="E329" s="28" t="n">
        <f aca="false">IF(D329="","",MIN(Sigma!AE46:AE47))</f>
        <v>3.73442808607022</v>
      </c>
    </row>
    <row r="330" customFormat="false" ht="15" hidden="false" customHeight="true" outlineLevel="0" collapsed="false">
      <c r="A330" s="9" t="s">
        <v>160</v>
      </c>
      <c r="B330" s="11" t="s">
        <v>122</v>
      </c>
      <c r="C330" s="11" t="s">
        <v>31</v>
      </c>
      <c r="D330" s="27" t="str">
        <f aca="false">IF('TEa input'!O26="","",'TEa input'!O26)</f>
        <v/>
      </c>
      <c r="E330" s="28" t="str">
        <f aca="false">IF(D330="","",MIN(Sigma!AF46:AF47))</f>
        <v/>
      </c>
    </row>
    <row r="331" customFormat="false" ht="15" hidden="false" customHeight="true" outlineLevel="0" collapsed="false">
      <c r="A331" s="9" t="s">
        <v>160</v>
      </c>
      <c r="B331" s="11" t="s">
        <v>122</v>
      </c>
      <c r="C331" s="11" t="s">
        <v>32</v>
      </c>
      <c r="D331" s="27" t="n">
        <f aca="false">IF('TEa input'!Q26="","",'TEa input'!Q26)</f>
        <v>24</v>
      </c>
      <c r="E331" s="28" t="n">
        <f aca="false">IF(D331="","",MIN(Sigma!AG46:AG47))</f>
        <v>4.48942997357493</v>
      </c>
    </row>
    <row r="332" customFormat="false" ht="15" hidden="false" customHeight="true" outlineLevel="0" collapsed="false">
      <c r="A332" s="9" t="s">
        <v>160</v>
      </c>
      <c r="B332" s="11" t="s">
        <v>122</v>
      </c>
      <c r="C332" s="11" t="s">
        <v>33</v>
      </c>
      <c r="D332" s="27" t="n">
        <f aca="false">IF('TEa input'!R26="","",'TEa input'!R26)</f>
        <v>14.3</v>
      </c>
      <c r="E332" s="28" t="n">
        <f aca="false">IF(D332="","",MIN(Sigma!AH46:AH47))</f>
        <v>2.65855039637599</v>
      </c>
    </row>
    <row r="333" customFormat="false" ht="15" hidden="false" customHeight="true" outlineLevel="0" collapsed="false">
      <c r="A333" s="9" t="s">
        <v>160</v>
      </c>
      <c r="B333" s="11" t="s">
        <v>122</v>
      </c>
      <c r="C333" s="11" t="s">
        <v>34</v>
      </c>
      <c r="D333" s="27" t="str">
        <f aca="false">IF('TEa input'!T26="","",'TEa input'!T26)</f>
        <v/>
      </c>
      <c r="E333" s="28" t="str">
        <f aca="false">IF(D333="","",MIN(Sigma!AI46:AI47))</f>
        <v/>
      </c>
    </row>
    <row r="334" customFormat="false" ht="15" hidden="false" customHeight="true" outlineLevel="0" collapsed="false">
      <c r="A334" s="9" t="s">
        <v>160</v>
      </c>
      <c r="B334" s="11" t="s">
        <v>122</v>
      </c>
      <c r="C334" s="11" t="s">
        <v>320</v>
      </c>
      <c r="D334" s="27" t="str">
        <f aca="false">IF('TEa input'!Y26="","",'TEa input'!Y26)</f>
        <v/>
      </c>
      <c r="E334" s="28" t="str">
        <f aca="false">IF(D334="","",MIN(Sigma!AJ46:AJ47))</f>
        <v/>
      </c>
    </row>
    <row r="335" customFormat="false" ht="15" hidden="false" customHeight="true" outlineLevel="0" collapsed="false">
      <c r="A335" s="9" t="s">
        <v>160</v>
      </c>
      <c r="B335" s="11" t="s">
        <v>122</v>
      </c>
      <c r="C335" s="11" t="s">
        <v>321</v>
      </c>
      <c r="D335" s="27" t="str">
        <f aca="false">IF('TEa input'!Z26="","",'TEa input'!Z26)</f>
        <v/>
      </c>
      <c r="E335" s="28" t="str">
        <f aca="false">IF(D335="","",MIN(Sigma!AK46:AK47))</f>
        <v/>
      </c>
    </row>
    <row r="336" customFormat="false" ht="15" hidden="false" customHeight="true" outlineLevel="0" collapsed="false">
      <c r="A336" s="9" t="s">
        <v>160</v>
      </c>
      <c r="B336" s="11" t="s">
        <v>122</v>
      </c>
      <c r="C336" s="11" t="s">
        <v>322</v>
      </c>
      <c r="D336" s="27" t="str">
        <f aca="false">IF('TEa input'!AA26="","",'TEa input'!AA26)</f>
        <v/>
      </c>
      <c r="E336" s="28" t="str">
        <f aca="false">IF(D336="","",MIN(Sigma!AL46:AL47))</f>
        <v/>
      </c>
    </row>
    <row r="337" customFormat="false" ht="15" hidden="false" customHeight="true" outlineLevel="0" collapsed="false">
      <c r="A337" s="9" t="s">
        <v>160</v>
      </c>
      <c r="B337" s="11" t="s">
        <v>122</v>
      </c>
      <c r="C337" s="11" t="s">
        <v>323</v>
      </c>
      <c r="D337" s="27" t="str">
        <f aca="false">IF('TEa input'!AB26="","",'TEa input'!AB26)</f>
        <v/>
      </c>
      <c r="E337" s="28" t="str">
        <f aca="false">IF(D337="","",MIN(Sigma!AM46:AM47))</f>
        <v/>
      </c>
    </row>
    <row r="338" customFormat="false" ht="15" hidden="false" customHeight="true" outlineLevel="0" collapsed="false">
      <c r="A338" s="9" t="s">
        <v>160</v>
      </c>
      <c r="B338" s="11" t="s">
        <v>122</v>
      </c>
      <c r="C338" s="11" t="s">
        <v>324</v>
      </c>
      <c r="D338" s="27" t="n">
        <f aca="false">IF('TEa input'!AC26="","",'TEa input'!AC26)</f>
        <v>37.88</v>
      </c>
      <c r="E338" s="28" t="n">
        <f aca="false">IF(D338="","",MIN(Sigma!AN46:AN47))</f>
        <v>7.10928652321631</v>
      </c>
    </row>
    <row r="339" customFormat="false" ht="15" hidden="false" customHeight="true" outlineLevel="0" collapsed="false">
      <c r="A339" s="9" t="s">
        <v>160</v>
      </c>
      <c r="B339" s="11" t="s">
        <v>122</v>
      </c>
      <c r="C339" s="11" t="s">
        <v>325</v>
      </c>
      <c r="D339" s="27" t="str">
        <f aca="false">IF('TEa input'!AD26="","",'TEa input'!AD26)</f>
        <v/>
      </c>
      <c r="E339" s="28" t="str">
        <f aca="false">IF(D339="","",MIN(Sigma!AO46:AO47))</f>
        <v/>
      </c>
    </row>
    <row r="340" customFormat="false" ht="15" hidden="false" customHeight="true" outlineLevel="0" collapsed="false">
      <c r="A340" s="9" t="s">
        <v>160</v>
      </c>
      <c r="B340" s="11" t="s">
        <v>122</v>
      </c>
      <c r="C340" s="29" t="str">
        <f aca="false">IF('TEa input'!AE26="","Other",'TEa input'!AE26)</f>
        <v>Other</v>
      </c>
      <c r="D340" s="27" t="str">
        <f aca="false">IF('TEa input'!AF26="","",'TEa input'!AF26)</f>
        <v/>
      </c>
      <c r="E340" s="28" t="str">
        <f aca="false">IF(D340="","",MIN(Sigma!AP46:AP47))</f>
        <v/>
      </c>
    </row>
    <row r="341" customFormat="false" ht="15" hidden="false" customHeight="true" outlineLevel="0" collapsed="false">
      <c r="A341" s="9" t="s">
        <v>163</v>
      </c>
      <c r="B341" s="11" t="s">
        <v>122</v>
      </c>
      <c r="C341" s="11" t="s">
        <v>26</v>
      </c>
      <c r="D341" s="27" t="n">
        <f aca="false">IF('TEa input'!E27="","",'TEa input'!E27)</f>
        <v>12</v>
      </c>
      <c r="E341" s="28" t="n">
        <f aca="false">IF(D341="","",MIN(Sigma!AA48:AA50))</f>
        <v>1.19585171057337</v>
      </c>
    </row>
    <row r="342" customFormat="false" ht="15" hidden="false" customHeight="true" outlineLevel="0" collapsed="false">
      <c r="A342" s="9" t="s">
        <v>163</v>
      </c>
      <c r="B342" s="11" t="s">
        <v>122</v>
      </c>
      <c r="C342" s="11" t="s">
        <v>27</v>
      </c>
      <c r="D342" s="27" t="n">
        <f aca="false">IF('TEa input'!G27="","",'TEa input'!G27)</f>
        <v>20</v>
      </c>
      <c r="E342" s="28" t="n">
        <f aca="false">IF(D342="","",MIN(Sigma!AB48:AB50))</f>
        <v>2.14948146382167</v>
      </c>
    </row>
    <row r="343" customFormat="false" ht="15" hidden="false" customHeight="true" outlineLevel="0" collapsed="false">
      <c r="A343" s="9" t="s">
        <v>163</v>
      </c>
      <c r="B343" s="11" t="s">
        <v>122</v>
      </c>
      <c r="C343" s="11" t="s">
        <v>28</v>
      </c>
      <c r="D343" s="27" t="n">
        <f aca="false">IF('TEa input'!I27="","",'TEa input'!I27)</f>
        <v>13</v>
      </c>
      <c r="E343" s="28" t="n">
        <f aca="false">IF(D343="","",MIN(Sigma!AC48:AC50))</f>
        <v>1.31505542972941</v>
      </c>
    </row>
    <row r="344" customFormat="false" ht="15" hidden="false" customHeight="true" outlineLevel="0" collapsed="false">
      <c r="A344" s="9" t="s">
        <v>163</v>
      </c>
      <c r="B344" s="11" t="s">
        <v>122</v>
      </c>
      <c r="C344" s="11" t="s">
        <v>29</v>
      </c>
      <c r="D344" s="27" t="str">
        <f aca="false">IF('TEa input'!K27="","",'TEa input'!K27)</f>
        <v/>
      </c>
      <c r="E344" s="28" t="str">
        <f aca="false">IF(D344="","",MIN(Sigma!AD48:AD50))</f>
        <v/>
      </c>
    </row>
    <row r="345" customFormat="false" ht="15" hidden="false" customHeight="true" outlineLevel="0" collapsed="false">
      <c r="A345" s="9" t="s">
        <v>163</v>
      </c>
      <c r="B345" s="11" t="s">
        <v>122</v>
      </c>
      <c r="C345" s="11" t="s">
        <v>30</v>
      </c>
      <c r="D345" s="27" t="n">
        <f aca="false">IF('TEa input'!M27="","",'TEa input'!M27)</f>
        <v>12</v>
      </c>
      <c r="E345" s="28" t="n">
        <f aca="false">IF(D345="","",MIN(Sigma!AE48:AE50))</f>
        <v>1.19585171057337</v>
      </c>
    </row>
    <row r="346" customFormat="false" ht="15" hidden="false" customHeight="true" outlineLevel="0" collapsed="false">
      <c r="A346" s="9" t="s">
        <v>163</v>
      </c>
      <c r="B346" s="11" t="s">
        <v>122</v>
      </c>
      <c r="C346" s="11" t="s">
        <v>31</v>
      </c>
      <c r="D346" s="27" t="n">
        <f aca="false">IF('TEa input'!O27="","",'TEa input'!O27)</f>
        <v>15</v>
      </c>
      <c r="E346" s="28" t="n">
        <f aca="false">IF(D346="","",MIN(Sigma!AF48:AF50))</f>
        <v>1.55346286804148</v>
      </c>
    </row>
    <row r="347" customFormat="false" ht="15" hidden="false" customHeight="true" outlineLevel="0" collapsed="false">
      <c r="A347" s="9" t="s">
        <v>163</v>
      </c>
      <c r="B347" s="11" t="s">
        <v>122</v>
      </c>
      <c r="C347" s="11" t="s">
        <v>32</v>
      </c>
      <c r="D347" s="27" t="n">
        <f aca="false">IF('TEa input'!Q27="","",'TEa input'!Q27)</f>
        <v>21</v>
      </c>
      <c r="E347" s="28" t="n">
        <f aca="false">IF(D347="","",MIN(Sigma!AG48:AG50))</f>
        <v>2.26868518297771</v>
      </c>
    </row>
    <row r="348" customFormat="false" ht="15" hidden="false" customHeight="true" outlineLevel="0" collapsed="false">
      <c r="A348" s="9" t="s">
        <v>163</v>
      </c>
      <c r="B348" s="11" t="s">
        <v>122</v>
      </c>
      <c r="C348" s="11" t="s">
        <v>33</v>
      </c>
      <c r="D348" s="27" t="n">
        <f aca="false">IF('TEa input'!R27="","",'TEa input'!R27)</f>
        <v>12</v>
      </c>
      <c r="E348" s="28" t="n">
        <f aca="false">IF(D348="","",MIN(Sigma!AH48:AH50))</f>
        <v>1.19585171057337</v>
      </c>
    </row>
    <row r="349" customFormat="false" ht="15" hidden="false" customHeight="true" outlineLevel="0" collapsed="false">
      <c r="A349" s="9" t="s">
        <v>163</v>
      </c>
      <c r="B349" s="11" t="s">
        <v>122</v>
      </c>
      <c r="C349" s="11" t="s">
        <v>34</v>
      </c>
      <c r="D349" s="27" t="n">
        <f aca="false">IF('TEa input'!T27="","",'TEa input'!T27)</f>
        <v>20</v>
      </c>
      <c r="E349" s="28" t="n">
        <f aca="false">IF(D349="","",MIN(Sigma!AI48:AI50))</f>
        <v>2.14948146382167</v>
      </c>
    </row>
    <row r="350" customFormat="false" ht="15" hidden="false" customHeight="true" outlineLevel="0" collapsed="false">
      <c r="A350" s="9" t="s">
        <v>163</v>
      </c>
      <c r="B350" s="11" t="s">
        <v>122</v>
      </c>
      <c r="C350" s="11" t="s">
        <v>320</v>
      </c>
      <c r="D350" s="27" t="str">
        <f aca="false">IF('TEa input'!Y27="","",'TEa input'!Y27)</f>
        <v/>
      </c>
      <c r="E350" s="28" t="str">
        <f aca="false">IF(D350="","",MIN(Sigma!AJ48:AJ50))</f>
        <v/>
      </c>
    </row>
    <row r="351" customFormat="false" ht="15" hidden="false" customHeight="true" outlineLevel="0" collapsed="false">
      <c r="A351" s="9" t="s">
        <v>163</v>
      </c>
      <c r="B351" s="11" t="s">
        <v>122</v>
      </c>
      <c r="C351" s="11" t="s">
        <v>321</v>
      </c>
      <c r="D351" s="27" t="str">
        <f aca="false">IF('TEa input'!Z27="","",'TEa input'!Z27)</f>
        <v/>
      </c>
      <c r="E351" s="28" t="str">
        <f aca="false">IF(D351="","",MIN(Sigma!AK48:AK50))</f>
        <v/>
      </c>
    </row>
    <row r="352" customFormat="false" ht="15" hidden="false" customHeight="true" outlineLevel="0" collapsed="false">
      <c r="A352" s="9" t="s">
        <v>163</v>
      </c>
      <c r="B352" s="11" t="s">
        <v>122</v>
      </c>
      <c r="C352" s="11" t="s">
        <v>322</v>
      </c>
      <c r="D352" s="27" t="str">
        <f aca="false">IF('TEa input'!AA27="","",'TEa input'!AA27)</f>
        <v/>
      </c>
      <c r="E352" s="28" t="str">
        <f aca="false">IF(D352="","",MIN(Sigma!AL48:AL50))</f>
        <v/>
      </c>
    </row>
    <row r="353" customFormat="false" ht="15" hidden="false" customHeight="true" outlineLevel="0" collapsed="false">
      <c r="A353" s="9" t="s">
        <v>163</v>
      </c>
      <c r="B353" s="11" t="s">
        <v>122</v>
      </c>
      <c r="C353" s="11" t="s">
        <v>323</v>
      </c>
      <c r="D353" s="27" t="str">
        <f aca="false">IF('TEa input'!AB27="","",'TEa input'!AB27)</f>
        <v/>
      </c>
      <c r="E353" s="28" t="str">
        <f aca="false">IF(D353="","",MIN(Sigma!AM48:AM50))</f>
        <v/>
      </c>
    </row>
    <row r="354" customFormat="false" ht="15" hidden="false" customHeight="true" outlineLevel="0" collapsed="false">
      <c r="A354" s="9" t="s">
        <v>163</v>
      </c>
      <c r="B354" s="11" t="s">
        <v>122</v>
      </c>
      <c r="C354" s="11" t="s">
        <v>324</v>
      </c>
      <c r="D354" s="27" t="n">
        <f aca="false">IF('TEa input'!AC27="","",'TEa input'!AC27)</f>
        <v>26.94</v>
      </c>
      <c r="E354" s="28" t="n">
        <f aca="false">IF(D354="","",MIN(Sigma!AN48:AN50))</f>
        <v>2.97675527476457</v>
      </c>
    </row>
    <row r="355" customFormat="false" ht="15" hidden="false" customHeight="true" outlineLevel="0" collapsed="false">
      <c r="A355" s="9" t="s">
        <v>163</v>
      </c>
      <c r="B355" s="11" t="s">
        <v>122</v>
      </c>
      <c r="C355" s="11" t="s">
        <v>325</v>
      </c>
      <c r="D355" s="27" t="str">
        <f aca="false">IF('TEa input'!AD27="","",'TEa input'!AD27)</f>
        <v/>
      </c>
      <c r="E355" s="28" t="str">
        <f aca="false">IF(D355="","",MIN(Sigma!AO48:AO50))</f>
        <v/>
      </c>
    </row>
    <row r="356" customFormat="false" ht="15" hidden="false" customHeight="true" outlineLevel="0" collapsed="false">
      <c r="A356" s="9" t="s">
        <v>163</v>
      </c>
      <c r="B356" s="11" t="s">
        <v>122</v>
      </c>
      <c r="C356" s="29" t="str">
        <f aca="false">IF('TEa input'!AE27="","Other",'TEa input'!AE27)</f>
        <v>Other</v>
      </c>
      <c r="D356" s="27" t="str">
        <f aca="false">IF('TEa input'!AF27="","",'TEa input'!AF27)</f>
        <v/>
      </c>
      <c r="E356" s="28" t="str">
        <f aca="false">IF(D356="","",MIN(Sigma!AP48:AP50))</f>
        <v/>
      </c>
    </row>
    <row r="357" customFormat="false" ht="15" hidden="false" customHeight="true" outlineLevel="0" collapsed="false">
      <c r="A357" s="9" t="s">
        <v>169</v>
      </c>
      <c r="B357" s="11" t="s">
        <v>122</v>
      </c>
      <c r="C357" s="11" t="s">
        <v>26</v>
      </c>
      <c r="D357" s="27" t="n">
        <f aca="false">IF('TEa input'!E28="","",'TEa input'!E28)</f>
        <v>5</v>
      </c>
      <c r="E357" s="28" t="n">
        <f aca="false">IF(D357="","",MIN(Sigma!AA51:AA52))</f>
        <v>1.76425203600514</v>
      </c>
    </row>
    <row r="358" customFormat="false" ht="15" hidden="false" customHeight="true" outlineLevel="0" collapsed="false">
      <c r="A358" s="9" t="s">
        <v>169</v>
      </c>
      <c r="B358" s="11" t="s">
        <v>122</v>
      </c>
      <c r="C358" s="11" t="s">
        <v>27</v>
      </c>
      <c r="D358" s="27" t="n">
        <f aca="false">IF('TEa input'!G28="","",'TEa input'!G28)</f>
        <v>8</v>
      </c>
      <c r="E358" s="28" t="n">
        <f aca="false">IF(D358="","",MIN(Sigma!AB51:AB52))</f>
        <v>3.05015002143163</v>
      </c>
    </row>
    <row r="359" customFormat="false" ht="15" hidden="false" customHeight="true" outlineLevel="0" collapsed="false">
      <c r="A359" s="9" t="s">
        <v>169</v>
      </c>
      <c r="B359" s="11" t="s">
        <v>122</v>
      </c>
      <c r="C359" s="11" t="s">
        <v>28</v>
      </c>
      <c r="D359" s="27" t="n">
        <f aca="false">IF('TEa input'!I28="","",'TEa input'!I28)</f>
        <v>12.5</v>
      </c>
      <c r="E359" s="28" t="n">
        <f aca="false">IF(D359="","",MIN(Sigma!AC51:AC52))</f>
        <v>4.97899699957137</v>
      </c>
    </row>
    <row r="360" customFormat="false" ht="15" hidden="false" customHeight="true" outlineLevel="0" collapsed="false">
      <c r="A360" s="9" t="s">
        <v>169</v>
      </c>
      <c r="B360" s="11" t="s">
        <v>122</v>
      </c>
      <c r="C360" s="11" t="s">
        <v>29</v>
      </c>
      <c r="D360" s="27" t="str">
        <f aca="false">IF('TEa input'!K28="","",'TEa input'!K28)</f>
        <v/>
      </c>
      <c r="E360" s="28" t="str">
        <f aca="false">IF(D360="","",MIN(Sigma!AD51:AD52))</f>
        <v/>
      </c>
    </row>
    <row r="361" customFormat="false" ht="15" hidden="false" customHeight="true" outlineLevel="0" collapsed="false">
      <c r="A361" s="9" t="s">
        <v>169</v>
      </c>
      <c r="B361" s="11" t="s">
        <v>122</v>
      </c>
      <c r="C361" s="11" t="s">
        <v>30</v>
      </c>
      <c r="D361" s="27" t="n">
        <f aca="false">IF('TEa input'!M28="","",'TEa input'!M28)</f>
        <v>6</v>
      </c>
      <c r="E361" s="28" t="n">
        <f aca="false">IF(D361="","",MIN(Sigma!AE51:AE52))</f>
        <v>2.19288469781397</v>
      </c>
    </row>
    <row r="362" customFormat="false" ht="15" hidden="false" customHeight="true" outlineLevel="0" collapsed="false">
      <c r="A362" s="9" t="s">
        <v>169</v>
      </c>
      <c r="B362" s="11" t="s">
        <v>122</v>
      </c>
      <c r="C362" s="11" t="s">
        <v>31</v>
      </c>
      <c r="D362" s="27" t="n">
        <f aca="false">IF('TEa input'!O28="","",'TEa input'!O28)</f>
        <v>6</v>
      </c>
      <c r="E362" s="28" t="n">
        <f aca="false">IF(D362="","",MIN(Sigma!AF51:AF52))</f>
        <v>2.19288469781397</v>
      </c>
    </row>
    <row r="363" customFormat="false" ht="15" hidden="false" customHeight="true" outlineLevel="0" collapsed="false">
      <c r="A363" s="9" t="s">
        <v>169</v>
      </c>
      <c r="B363" s="11" t="s">
        <v>122</v>
      </c>
      <c r="C363" s="11" t="s">
        <v>32</v>
      </c>
      <c r="D363" s="27" t="n">
        <f aca="false">IF('TEa input'!Q28="","",'TEa input'!Q28)</f>
        <v>12</v>
      </c>
      <c r="E363" s="28" t="n">
        <f aca="false">IF(D363="","",MIN(Sigma!AG51:AG52))</f>
        <v>4.76468066866695</v>
      </c>
    </row>
    <row r="364" customFormat="false" ht="15" hidden="false" customHeight="true" outlineLevel="0" collapsed="false">
      <c r="A364" s="9" t="s">
        <v>169</v>
      </c>
      <c r="B364" s="11" t="s">
        <v>122</v>
      </c>
      <c r="C364" s="11" t="s">
        <v>33</v>
      </c>
      <c r="D364" s="27" t="n">
        <f aca="false">IF('TEa input'!R28="","",'TEa input'!R28)</f>
        <v>10.7</v>
      </c>
      <c r="E364" s="28" t="n">
        <f aca="false">IF(D364="","",MIN(Sigma!AH51:AH52))</f>
        <v>4.20745820831547</v>
      </c>
    </row>
    <row r="365" customFormat="false" ht="15" hidden="false" customHeight="true" outlineLevel="0" collapsed="false">
      <c r="A365" s="9" t="s">
        <v>169</v>
      </c>
      <c r="B365" s="11" t="s">
        <v>122</v>
      </c>
      <c r="C365" s="11" t="s">
        <v>34</v>
      </c>
      <c r="D365" s="27" t="n">
        <f aca="false">IF('TEa input'!T28="","",'TEa input'!T28)</f>
        <v>15</v>
      </c>
      <c r="E365" s="28" t="n">
        <f aca="false">IF(D365="","",MIN(Sigma!AI51:AI52))</f>
        <v>6.05057865409344</v>
      </c>
    </row>
    <row r="366" customFormat="false" ht="15" hidden="false" customHeight="true" outlineLevel="0" collapsed="false">
      <c r="A366" s="9" t="s">
        <v>169</v>
      </c>
      <c r="B366" s="11" t="s">
        <v>122</v>
      </c>
      <c r="C366" s="11" t="s">
        <v>320</v>
      </c>
      <c r="D366" s="27" t="str">
        <f aca="false">IF('TEa input'!Y28="","",'TEa input'!Y28)</f>
        <v/>
      </c>
      <c r="E366" s="28" t="str">
        <f aca="false">IF(D366="","",MIN(Sigma!AJ51:AJ52))</f>
        <v/>
      </c>
    </row>
    <row r="367" customFormat="false" ht="15" hidden="false" customHeight="true" outlineLevel="0" collapsed="false">
      <c r="A367" s="9" t="s">
        <v>169</v>
      </c>
      <c r="B367" s="11" t="s">
        <v>122</v>
      </c>
      <c r="C367" s="11" t="s">
        <v>321</v>
      </c>
      <c r="D367" s="27" t="str">
        <f aca="false">IF('TEa input'!Z28="","",'TEa input'!Z28)</f>
        <v/>
      </c>
      <c r="E367" s="28" t="str">
        <f aca="false">IF(D367="","",MIN(Sigma!AK51:AK52))</f>
        <v/>
      </c>
    </row>
    <row r="368" customFormat="false" ht="15" hidden="false" customHeight="true" outlineLevel="0" collapsed="false">
      <c r="A368" s="9" t="s">
        <v>169</v>
      </c>
      <c r="B368" s="11" t="s">
        <v>122</v>
      </c>
      <c r="C368" s="11" t="s">
        <v>322</v>
      </c>
      <c r="D368" s="27" t="str">
        <f aca="false">IF('TEa input'!AA28="","",'TEa input'!AA28)</f>
        <v/>
      </c>
      <c r="E368" s="28" t="str">
        <f aca="false">IF(D368="","",MIN(Sigma!AL51:AL52))</f>
        <v/>
      </c>
    </row>
    <row r="369" customFormat="false" ht="15" hidden="false" customHeight="true" outlineLevel="0" collapsed="false">
      <c r="A369" s="9" t="s">
        <v>169</v>
      </c>
      <c r="B369" s="11" t="s">
        <v>122</v>
      </c>
      <c r="C369" s="11" t="s">
        <v>323</v>
      </c>
      <c r="D369" s="27" t="str">
        <f aca="false">IF('TEa input'!AB28="","",'TEa input'!AB28)</f>
        <v/>
      </c>
      <c r="E369" s="28" t="str">
        <f aca="false">IF(D369="","",MIN(Sigma!AM51:AM52))</f>
        <v/>
      </c>
    </row>
    <row r="370" customFormat="false" ht="15" hidden="false" customHeight="true" outlineLevel="0" collapsed="false">
      <c r="A370" s="9" t="s">
        <v>169</v>
      </c>
      <c r="B370" s="11" t="s">
        <v>122</v>
      </c>
      <c r="C370" s="11" t="s">
        <v>324</v>
      </c>
      <c r="D370" s="27" t="n">
        <f aca="false">IF('TEa input'!AC28="","",'TEa input'!AC28)</f>
        <v>4.07</v>
      </c>
      <c r="E370" s="28" t="n">
        <f aca="false">IF(D370="","",MIN(Sigma!AN51:AN52))</f>
        <v>1.36562366052293</v>
      </c>
    </row>
    <row r="371" customFormat="false" ht="15" hidden="false" customHeight="true" outlineLevel="0" collapsed="false">
      <c r="A371" s="9" t="s">
        <v>169</v>
      </c>
      <c r="B371" s="11" t="s">
        <v>122</v>
      </c>
      <c r="C371" s="11" t="s">
        <v>325</v>
      </c>
      <c r="D371" s="27" t="str">
        <f aca="false">IF('TEa input'!AD28="","",'TEa input'!AD28)</f>
        <v/>
      </c>
      <c r="E371" s="28" t="str">
        <f aca="false">IF(D371="","",MIN(Sigma!AO51:AO52))</f>
        <v/>
      </c>
    </row>
    <row r="372" customFormat="false" ht="15" hidden="false" customHeight="true" outlineLevel="0" collapsed="false">
      <c r="A372" s="9" t="s">
        <v>169</v>
      </c>
      <c r="B372" s="11" t="s">
        <v>122</v>
      </c>
      <c r="C372" s="29" t="str">
        <f aca="false">IF('TEa input'!AE28="","Other",'TEa input'!AE28)</f>
        <v>Other</v>
      </c>
      <c r="D372" s="27" t="str">
        <f aca="false">IF('TEa input'!AF28="","",'TEa input'!AF28)</f>
        <v/>
      </c>
      <c r="E372" s="28" t="str">
        <f aca="false">IF(D372="","",MIN(Sigma!AP51:AP52))</f>
        <v/>
      </c>
    </row>
    <row r="373" customFormat="false" ht="15" hidden="false" customHeight="true" outlineLevel="0" collapsed="false">
      <c r="A373" s="9" t="s">
        <v>173</v>
      </c>
      <c r="B373" s="11" t="s">
        <v>122</v>
      </c>
      <c r="C373" s="11" t="s">
        <v>26</v>
      </c>
      <c r="D373" s="27" t="n">
        <f aca="false">IF('TEa input'!E29="","",'TEa input'!E29)</f>
        <v>5</v>
      </c>
      <c r="E373" s="28" t="n">
        <f aca="false">IF(D373="","",MIN(Sigma!AA53:AA54))</f>
        <v>2.14412532637076</v>
      </c>
    </row>
    <row r="374" customFormat="false" ht="15" hidden="false" customHeight="true" outlineLevel="0" collapsed="false">
      <c r="A374" s="9" t="s">
        <v>173</v>
      </c>
      <c r="B374" s="11" t="s">
        <v>122</v>
      </c>
      <c r="C374" s="11" t="s">
        <v>27</v>
      </c>
      <c r="D374" s="27" t="n">
        <f aca="false">IF('TEa input'!G29="","",'TEa input'!G29)</f>
        <v>8</v>
      </c>
      <c r="E374" s="28" t="n">
        <f aca="false">IF(D374="","",MIN(Sigma!AB53:AB54))</f>
        <v>3.71070496083551</v>
      </c>
    </row>
    <row r="375" customFormat="false" ht="15" hidden="false" customHeight="true" outlineLevel="0" collapsed="false">
      <c r="A375" s="9" t="s">
        <v>173</v>
      </c>
      <c r="B375" s="11" t="s">
        <v>122</v>
      </c>
      <c r="C375" s="11" t="s">
        <v>28</v>
      </c>
      <c r="D375" s="27" t="n">
        <f aca="false">IF('TEa input'!I29="","",'TEa input'!I29)</f>
        <v>6</v>
      </c>
      <c r="E375" s="28" t="n">
        <f aca="false">IF(D375="","",MIN(Sigma!AC53:AC54))</f>
        <v>2.66631853785901</v>
      </c>
    </row>
    <row r="376" customFormat="false" ht="15" hidden="false" customHeight="true" outlineLevel="0" collapsed="false">
      <c r="A376" s="9" t="s">
        <v>173</v>
      </c>
      <c r="B376" s="11" t="s">
        <v>122</v>
      </c>
      <c r="C376" s="11" t="s">
        <v>29</v>
      </c>
      <c r="D376" s="27" t="str">
        <f aca="false">IF('TEa input'!K29="","",'TEa input'!K29)</f>
        <v/>
      </c>
      <c r="E376" s="28" t="str">
        <f aca="false">IF(D376="","",MIN(Sigma!AD53:AD54))</f>
        <v/>
      </c>
    </row>
    <row r="377" customFormat="false" ht="15" hidden="false" customHeight="true" outlineLevel="0" collapsed="false">
      <c r="A377" s="9" t="s">
        <v>173</v>
      </c>
      <c r="B377" s="11" t="s">
        <v>122</v>
      </c>
      <c r="C377" s="11" t="s">
        <v>30</v>
      </c>
      <c r="D377" s="27" t="n">
        <f aca="false">IF('TEa input'!M29="","",'TEa input'!M29)</f>
        <v>5</v>
      </c>
      <c r="E377" s="28" t="n">
        <f aca="false">IF(D377="","",MIN(Sigma!AE53:AE54))</f>
        <v>2.14412532637076</v>
      </c>
    </row>
    <row r="378" customFormat="false" ht="15" hidden="false" customHeight="true" outlineLevel="0" collapsed="false">
      <c r="A378" s="9" t="s">
        <v>173</v>
      </c>
      <c r="B378" s="11" t="s">
        <v>122</v>
      </c>
      <c r="C378" s="11" t="s">
        <v>31</v>
      </c>
      <c r="D378" s="27" t="n">
        <f aca="false">IF('TEa input'!O29="","",'TEa input'!O29)</f>
        <v>5</v>
      </c>
      <c r="E378" s="28" t="n">
        <f aca="false">IF(D378="","",MIN(Sigma!AF53:AF54))</f>
        <v>2.14412532637076</v>
      </c>
    </row>
    <row r="379" customFormat="false" ht="15" hidden="false" customHeight="true" outlineLevel="0" collapsed="false">
      <c r="A379" s="9" t="s">
        <v>173</v>
      </c>
      <c r="B379" s="11" t="s">
        <v>122</v>
      </c>
      <c r="C379" s="11" t="s">
        <v>32</v>
      </c>
      <c r="D379" s="27" t="n">
        <f aca="false">IF('TEa input'!Q29="","",'TEa input'!Q29)</f>
        <v>9</v>
      </c>
      <c r="E379" s="28" t="n">
        <f aca="false">IF(D379="","",MIN(Sigma!AG53:AG54))</f>
        <v>4.23289817232376</v>
      </c>
    </row>
    <row r="380" customFormat="false" ht="15" hidden="false" customHeight="true" outlineLevel="0" collapsed="false">
      <c r="A380" s="9" t="s">
        <v>173</v>
      </c>
      <c r="B380" s="11" t="s">
        <v>122</v>
      </c>
      <c r="C380" s="11" t="s">
        <v>33</v>
      </c>
      <c r="D380" s="27" t="n">
        <f aca="false">IF('TEa input'!R29="","",'TEa input'!R29)</f>
        <v>6.8</v>
      </c>
      <c r="E380" s="28" t="n">
        <f aca="false">IF(D380="","",MIN(Sigma!AH53:AH54))</f>
        <v>3.08407310704961</v>
      </c>
    </row>
    <row r="381" customFormat="false" ht="15" hidden="false" customHeight="true" outlineLevel="0" collapsed="false">
      <c r="A381" s="9" t="s">
        <v>173</v>
      </c>
      <c r="B381" s="11" t="s">
        <v>122</v>
      </c>
      <c r="C381" s="11" t="s">
        <v>34</v>
      </c>
      <c r="D381" s="27" t="n">
        <f aca="false">IF('TEa input'!T29="","",'TEa input'!T29)</f>
        <v>10</v>
      </c>
      <c r="E381" s="28" t="n">
        <f aca="false">IF(D381="","",MIN(Sigma!AI53:AI54))</f>
        <v>4.75509138381201</v>
      </c>
    </row>
    <row r="382" customFormat="false" ht="15" hidden="false" customHeight="true" outlineLevel="0" collapsed="false">
      <c r="A382" s="9" t="s">
        <v>173</v>
      </c>
      <c r="B382" s="11" t="s">
        <v>122</v>
      </c>
      <c r="C382" s="11" t="s">
        <v>320</v>
      </c>
      <c r="D382" s="27" t="str">
        <f aca="false">IF('TEa input'!Y29="","",'TEa input'!Y29)</f>
        <v/>
      </c>
      <c r="E382" s="28" t="str">
        <f aca="false">IF(D382="","",MIN(Sigma!AJ53:AJ54))</f>
        <v/>
      </c>
    </row>
    <row r="383" customFormat="false" ht="15" hidden="false" customHeight="true" outlineLevel="0" collapsed="false">
      <c r="A383" s="9" t="s">
        <v>173</v>
      </c>
      <c r="B383" s="11" t="s">
        <v>122</v>
      </c>
      <c r="C383" s="11" t="s">
        <v>321</v>
      </c>
      <c r="D383" s="27" t="str">
        <f aca="false">IF('TEa input'!Z29="","",'TEa input'!Z29)</f>
        <v/>
      </c>
      <c r="E383" s="28" t="str">
        <f aca="false">IF(D383="","",MIN(Sigma!AK53:AK54))</f>
        <v/>
      </c>
    </row>
    <row r="384" customFormat="false" ht="15" hidden="false" customHeight="true" outlineLevel="0" collapsed="false">
      <c r="A384" s="9" t="s">
        <v>173</v>
      </c>
      <c r="B384" s="11" t="s">
        <v>122</v>
      </c>
      <c r="C384" s="11" t="s">
        <v>322</v>
      </c>
      <c r="D384" s="27" t="str">
        <f aca="false">IF('TEa input'!AA29="","",'TEa input'!AA29)</f>
        <v/>
      </c>
      <c r="E384" s="28" t="str">
        <f aca="false">IF(D384="","",MIN(Sigma!AL53:AL54))</f>
        <v/>
      </c>
    </row>
    <row r="385" customFormat="false" ht="15" hidden="false" customHeight="true" outlineLevel="0" collapsed="false">
      <c r="A385" s="9" t="s">
        <v>173</v>
      </c>
      <c r="B385" s="11" t="s">
        <v>122</v>
      </c>
      <c r="C385" s="11" t="s">
        <v>323</v>
      </c>
      <c r="D385" s="27" t="str">
        <f aca="false">IF('TEa input'!AB29="","",'TEa input'!AB29)</f>
        <v/>
      </c>
      <c r="E385" s="28" t="str">
        <f aca="false">IF(D385="","",MIN(Sigma!AM53:AM54))</f>
        <v/>
      </c>
    </row>
    <row r="386" customFormat="false" ht="15" hidden="false" customHeight="true" outlineLevel="0" collapsed="false">
      <c r="A386" s="9" t="s">
        <v>173</v>
      </c>
      <c r="B386" s="11" t="s">
        <v>122</v>
      </c>
      <c r="C386" s="11" t="s">
        <v>324</v>
      </c>
      <c r="D386" s="27" t="n">
        <f aca="false">IF('TEa input'!AC29="","",'TEa input'!AC29)</f>
        <v>3.63</v>
      </c>
      <c r="E386" s="28" t="n">
        <f aca="false">IF(D386="","",MIN(Sigma!AN53:AN54))</f>
        <v>1.42872062663185</v>
      </c>
    </row>
    <row r="387" customFormat="false" ht="15" hidden="false" customHeight="true" outlineLevel="0" collapsed="false">
      <c r="A387" s="9" t="s">
        <v>173</v>
      </c>
      <c r="B387" s="11" t="s">
        <v>122</v>
      </c>
      <c r="C387" s="11" t="s">
        <v>325</v>
      </c>
      <c r="D387" s="27" t="str">
        <f aca="false">IF('TEa input'!AD29="","",'TEa input'!AD29)</f>
        <v/>
      </c>
      <c r="E387" s="28" t="str">
        <f aca="false">IF(D387="","",MIN(Sigma!AO53:AO54))</f>
        <v/>
      </c>
    </row>
    <row r="388" customFormat="false" ht="15" hidden="false" customHeight="true" outlineLevel="0" collapsed="false">
      <c r="A388" s="9" t="s">
        <v>173</v>
      </c>
      <c r="B388" s="11" t="s">
        <v>122</v>
      </c>
      <c r="C388" s="29" t="str">
        <f aca="false">IF('TEa input'!AE29="","Other",'TEa input'!AE29)</f>
        <v>Other</v>
      </c>
      <c r="D388" s="27" t="str">
        <f aca="false">IF('TEa input'!AF29="","",'TEa input'!AF29)</f>
        <v/>
      </c>
      <c r="E388" s="28" t="str">
        <f aca="false">IF(D388="","",MIN(Sigma!AP53:AP54))</f>
        <v/>
      </c>
    </row>
    <row r="389" customFormat="false" ht="15" hidden="false" customHeight="true" outlineLevel="0" collapsed="false">
      <c r="A389" s="9" t="s">
        <v>176</v>
      </c>
      <c r="B389" s="11" t="s">
        <v>122</v>
      </c>
      <c r="C389" s="11" t="s">
        <v>26</v>
      </c>
      <c r="D389" s="27" t="n">
        <f aca="false">IF('TEa input'!E30="","",'TEa input'!E30)</f>
        <v>6</v>
      </c>
      <c r="E389" s="28" t="n">
        <f aca="false">IF(D389="","",MIN(Sigma!AA55:AA56))</f>
        <v>3.53150859325271</v>
      </c>
    </row>
    <row r="390" customFormat="false" ht="15" hidden="false" customHeight="true" outlineLevel="0" collapsed="false">
      <c r="A390" s="9" t="s">
        <v>176</v>
      </c>
      <c r="B390" s="11" t="s">
        <v>122</v>
      </c>
      <c r="C390" s="11" t="s">
        <v>27</v>
      </c>
      <c r="D390" s="27" t="n">
        <f aca="false">IF('TEa input'!G30="","",'TEa input'!G30)</f>
        <v>10</v>
      </c>
      <c r="E390" s="28" t="n">
        <f aca="false">IF(D390="","",MIN(Sigma!AB55:AB56))</f>
        <v>6.07765754296626</v>
      </c>
    </row>
    <row r="391" customFormat="false" ht="15" hidden="false" customHeight="true" outlineLevel="0" collapsed="false">
      <c r="A391" s="9" t="s">
        <v>176</v>
      </c>
      <c r="B391" s="11" t="s">
        <v>122</v>
      </c>
      <c r="C391" s="11" t="s">
        <v>28</v>
      </c>
      <c r="D391" s="27" t="n">
        <f aca="false">IF('TEa input'!I30="","",'TEa input'!I30)</f>
        <v>9</v>
      </c>
      <c r="E391" s="28" t="n">
        <f aca="false">IF(D391="","",MIN(Sigma!AC55:AC56))</f>
        <v>5.44112030553787</v>
      </c>
    </row>
    <row r="392" customFormat="false" ht="15" hidden="false" customHeight="true" outlineLevel="0" collapsed="false">
      <c r="A392" s="9" t="s">
        <v>176</v>
      </c>
      <c r="B392" s="11" t="s">
        <v>122</v>
      </c>
      <c r="C392" s="11" t="s">
        <v>29</v>
      </c>
      <c r="D392" s="27" t="str">
        <f aca="false">IF('TEa input'!K30="","",'TEa input'!K30)</f>
        <v/>
      </c>
      <c r="E392" s="28" t="str">
        <f aca="false">IF(D392="","",MIN(Sigma!AD55:AD56))</f>
        <v/>
      </c>
    </row>
    <row r="393" customFormat="false" ht="15" hidden="false" customHeight="true" outlineLevel="0" collapsed="false">
      <c r="A393" s="9" t="s">
        <v>176</v>
      </c>
      <c r="B393" s="11" t="s">
        <v>122</v>
      </c>
      <c r="C393" s="11" t="s">
        <v>30</v>
      </c>
      <c r="D393" s="27" t="n">
        <f aca="false">IF('TEa input'!M30="","",'TEa input'!M30)</f>
        <v>8</v>
      </c>
      <c r="E393" s="28" t="n">
        <f aca="false">IF(D393="","",MIN(Sigma!AE55:AE56))</f>
        <v>4.80458306810948</v>
      </c>
    </row>
    <row r="394" customFormat="false" ht="15" hidden="false" customHeight="true" outlineLevel="0" collapsed="false">
      <c r="A394" s="9" t="s">
        <v>176</v>
      </c>
      <c r="B394" s="11" t="s">
        <v>122</v>
      </c>
      <c r="C394" s="11" t="s">
        <v>31</v>
      </c>
      <c r="D394" s="27" t="n">
        <f aca="false">IF('TEa input'!O30="","",'TEa input'!O30)</f>
        <v>10</v>
      </c>
      <c r="E394" s="28" t="n">
        <f aca="false">IF(D394="","",MIN(Sigma!AF55:AF56))</f>
        <v>6.07765754296626</v>
      </c>
    </row>
    <row r="395" customFormat="false" ht="15" hidden="false" customHeight="true" outlineLevel="0" collapsed="false">
      <c r="A395" s="9" t="s">
        <v>176</v>
      </c>
      <c r="B395" s="11" t="s">
        <v>122</v>
      </c>
      <c r="C395" s="11" t="s">
        <v>32</v>
      </c>
      <c r="D395" s="27" t="n">
        <f aca="false">IF('TEa input'!Q30="","",'TEa input'!Q30)</f>
        <v>15</v>
      </c>
      <c r="E395" s="28" t="n">
        <f aca="false">IF(D395="","",MIN(Sigma!AG55:AG56))</f>
        <v>9.26034373010821</v>
      </c>
    </row>
    <row r="396" customFormat="false" ht="15" hidden="false" customHeight="true" outlineLevel="0" collapsed="false">
      <c r="A396" s="9" t="s">
        <v>176</v>
      </c>
      <c r="B396" s="11" t="s">
        <v>122</v>
      </c>
      <c r="C396" s="11" t="s">
        <v>33</v>
      </c>
      <c r="D396" s="27" t="n">
        <f aca="false">IF('TEa input'!R30="","",'TEa input'!R30)</f>
        <v>7.4</v>
      </c>
      <c r="E396" s="28" t="n">
        <f aca="false">IF(D396="","",MIN(Sigma!AH55:AH56))</f>
        <v>4.42266072565245</v>
      </c>
    </row>
    <row r="397" customFormat="false" ht="15" hidden="false" customHeight="true" outlineLevel="0" collapsed="false">
      <c r="A397" s="9" t="s">
        <v>176</v>
      </c>
      <c r="B397" s="11" t="s">
        <v>122</v>
      </c>
      <c r="C397" s="11" t="s">
        <v>34</v>
      </c>
      <c r="D397" s="27" t="n">
        <f aca="false">IF('TEa input'!T30="","",'TEa input'!T30)</f>
        <v>16</v>
      </c>
      <c r="E397" s="28" t="n">
        <f aca="false">IF(D397="","",MIN(Sigma!AI55:AI56))</f>
        <v>9.8968809675366</v>
      </c>
    </row>
    <row r="398" customFormat="false" ht="15" hidden="false" customHeight="true" outlineLevel="0" collapsed="false">
      <c r="A398" s="9" t="s">
        <v>176</v>
      </c>
      <c r="B398" s="11" t="s">
        <v>122</v>
      </c>
      <c r="C398" s="11" t="s">
        <v>320</v>
      </c>
      <c r="D398" s="27" t="str">
        <f aca="false">IF('TEa input'!Y30="","",'TEa input'!Y30)</f>
        <v/>
      </c>
      <c r="E398" s="28" t="str">
        <f aca="false">IF(D398="","",MIN(Sigma!AJ55:AJ56))</f>
        <v/>
      </c>
    </row>
    <row r="399" customFormat="false" ht="15" hidden="false" customHeight="true" outlineLevel="0" collapsed="false">
      <c r="A399" s="9" t="s">
        <v>176</v>
      </c>
      <c r="B399" s="11" t="s">
        <v>122</v>
      </c>
      <c r="C399" s="11" t="s">
        <v>321</v>
      </c>
      <c r="D399" s="27" t="str">
        <f aca="false">IF('TEa input'!Z30="","",'TEa input'!Z30)</f>
        <v/>
      </c>
      <c r="E399" s="28" t="str">
        <f aca="false">IF(D399="","",MIN(Sigma!AK55:AK56))</f>
        <v/>
      </c>
    </row>
    <row r="400" customFormat="false" ht="15" hidden="false" customHeight="true" outlineLevel="0" collapsed="false">
      <c r="A400" s="9" t="s">
        <v>176</v>
      </c>
      <c r="B400" s="11" t="s">
        <v>122</v>
      </c>
      <c r="C400" s="11" t="s">
        <v>322</v>
      </c>
      <c r="D400" s="27" t="str">
        <f aca="false">IF('TEa input'!AA30="","",'TEa input'!AA30)</f>
        <v/>
      </c>
      <c r="E400" s="28" t="str">
        <f aca="false">IF(D400="","",MIN(Sigma!AL55:AL56))</f>
        <v/>
      </c>
    </row>
    <row r="401" customFormat="false" ht="15" hidden="false" customHeight="true" outlineLevel="0" collapsed="false">
      <c r="A401" s="9" t="s">
        <v>176</v>
      </c>
      <c r="B401" s="11" t="s">
        <v>122</v>
      </c>
      <c r="C401" s="11" t="s">
        <v>323</v>
      </c>
      <c r="D401" s="27" t="str">
        <f aca="false">IF('TEa input'!AB30="","",'TEa input'!AB30)</f>
        <v/>
      </c>
      <c r="E401" s="28" t="str">
        <f aca="false">IF(D401="","",MIN(Sigma!AM55:AM56))</f>
        <v/>
      </c>
    </row>
    <row r="402" customFormat="false" ht="15" hidden="false" customHeight="true" outlineLevel="0" collapsed="false">
      <c r="A402" s="9" t="s">
        <v>176</v>
      </c>
      <c r="B402" s="11" t="s">
        <v>122</v>
      </c>
      <c r="C402" s="11" t="s">
        <v>324</v>
      </c>
      <c r="D402" s="27" t="n">
        <f aca="false">IF('TEa input'!AC30="","",'TEa input'!AC30)</f>
        <v>10.11</v>
      </c>
      <c r="E402" s="28" t="n">
        <f aca="false">IF(D402="","",MIN(Sigma!AN55:AN56))</f>
        <v>6.14767663908339</v>
      </c>
    </row>
    <row r="403" customFormat="false" ht="15" hidden="false" customHeight="true" outlineLevel="0" collapsed="false">
      <c r="A403" s="9" t="s">
        <v>176</v>
      </c>
      <c r="B403" s="11" t="s">
        <v>122</v>
      </c>
      <c r="C403" s="11" t="s">
        <v>325</v>
      </c>
      <c r="D403" s="27" t="str">
        <f aca="false">IF('TEa input'!AD30="","",'TEa input'!AD30)</f>
        <v/>
      </c>
      <c r="E403" s="28" t="str">
        <f aca="false">IF(D403="","",MIN(Sigma!AO55:AO56))</f>
        <v/>
      </c>
    </row>
    <row r="404" customFormat="false" ht="15" hidden="false" customHeight="true" outlineLevel="0" collapsed="false">
      <c r="A404" s="9" t="s">
        <v>176</v>
      </c>
      <c r="B404" s="11" t="s">
        <v>122</v>
      </c>
      <c r="C404" s="29" t="str">
        <f aca="false">IF('TEa input'!AE30="","Other",'TEa input'!AE30)</f>
        <v>Other</v>
      </c>
      <c r="D404" s="27" t="str">
        <f aca="false">IF('TEa input'!AF30="","",'TEa input'!AF30)</f>
        <v/>
      </c>
      <c r="E404" s="28" t="str">
        <f aca="false">IF(D404="","",MIN(Sigma!AP55:AP56))</f>
        <v/>
      </c>
    </row>
    <row r="405" customFormat="false" ht="15" hidden="false" customHeight="true" outlineLevel="0" collapsed="false">
      <c r="A405" s="9" t="s">
        <v>181</v>
      </c>
      <c r="B405" s="11" t="s">
        <v>122</v>
      </c>
      <c r="C405" s="11" t="s">
        <v>26</v>
      </c>
      <c r="D405" s="27" t="n">
        <f aca="false">IF('TEa input'!E31="","",'TEa input'!E31)</f>
        <v>6</v>
      </c>
      <c r="E405" s="28" t="n">
        <f aca="false">IF(D405="","",MIN(Sigma!AA57:AA58))</f>
        <v>4.64397905759162</v>
      </c>
    </row>
    <row r="406" customFormat="false" ht="15" hidden="false" customHeight="true" outlineLevel="0" collapsed="false">
      <c r="A406" s="9" t="s">
        <v>181</v>
      </c>
      <c r="B406" s="11" t="s">
        <v>122</v>
      </c>
      <c r="C406" s="11" t="s">
        <v>27</v>
      </c>
      <c r="D406" s="27" t="n">
        <f aca="false">IF('TEa input'!G31="","",'TEa input'!G31)</f>
        <v>15</v>
      </c>
      <c r="E406" s="28" t="n">
        <f aca="false">IF(D406="","",MIN(Sigma!AB57:AB58))</f>
        <v>12.4973821989529</v>
      </c>
    </row>
    <row r="407" customFormat="false" ht="15" hidden="false" customHeight="true" outlineLevel="0" collapsed="false">
      <c r="A407" s="9" t="s">
        <v>181</v>
      </c>
      <c r="B407" s="11" t="s">
        <v>122</v>
      </c>
      <c r="C407" s="11" t="s">
        <v>28</v>
      </c>
      <c r="D407" s="27" t="n">
        <f aca="false">IF('TEa input'!I31="","",'TEa input'!I31)</f>
        <v>7.5</v>
      </c>
      <c r="E407" s="28" t="n">
        <f aca="false">IF(D407="","",MIN(Sigma!AC57:AC58))</f>
        <v>5.95287958115183</v>
      </c>
    </row>
    <row r="408" customFormat="false" ht="15" hidden="false" customHeight="true" outlineLevel="0" collapsed="false">
      <c r="A408" s="9" t="s">
        <v>181</v>
      </c>
      <c r="B408" s="11" t="s">
        <v>122</v>
      </c>
      <c r="C408" s="11" t="s">
        <v>29</v>
      </c>
      <c r="D408" s="27" t="str">
        <f aca="false">IF('TEa input'!K31="","",'TEa input'!K31)</f>
        <v/>
      </c>
      <c r="E408" s="28" t="str">
        <f aca="false">IF(D408="","",MIN(Sigma!AD57:AD58))</f>
        <v/>
      </c>
    </row>
    <row r="409" customFormat="false" ht="15" hidden="false" customHeight="true" outlineLevel="0" collapsed="false">
      <c r="A409" s="9" t="s">
        <v>181</v>
      </c>
      <c r="B409" s="11" t="s">
        <v>122</v>
      </c>
      <c r="C409" s="11" t="s">
        <v>30</v>
      </c>
      <c r="D409" s="27" t="n">
        <f aca="false">IF('TEa input'!M31="","",'TEa input'!M31)</f>
        <v>8</v>
      </c>
      <c r="E409" s="28" t="n">
        <f aca="false">IF(D409="","",MIN(Sigma!AE57:AE58))</f>
        <v>6.3891797556719</v>
      </c>
    </row>
    <row r="410" customFormat="false" ht="15" hidden="false" customHeight="true" outlineLevel="0" collapsed="false">
      <c r="A410" s="9" t="s">
        <v>181</v>
      </c>
      <c r="B410" s="11" t="s">
        <v>122</v>
      </c>
      <c r="C410" s="11" t="s">
        <v>31</v>
      </c>
      <c r="D410" s="27" t="n">
        <f aca="false">IF('TEa input'!O31="","",'TEa input'!O31)</f>
        <v>15</v>
      </c>
      <c r="E410" s="28" t="n">
        <f aca="false">IF(D410="","",MIN(Sigma!AF57:AF58))</f>
        <v>12.4973821989529</v>
      </c>
    </row>
    <row r="411" customFormat="false" ht="15" hidden="false" customHeight="true" outlineLevel="0" collapsed="false">
      <c r="A411" s="9" t="s">
        <v>181</v>
      </c>
      <c r="B411" s="11" t="s">
        <v>122</v>
      </c>
      <c r="C411" s="11" t="s">
        <v>32</v>
      </c>
      <c r="D411" s="27" t="n">
        <f aca="false">IF('TEa input'!Q31="","",'TEa input'!Q31)</f>
        <v>15</v>
      </c>
      <c r="E411" s="28" t="n">
        <f aca="false">IF(D411="","",MIN(Sigma!AG57:AG58))</f>
        <v>12.4973821989529</v>
      </c>
    </row>
    <row r="412" customFormat="false" ht="15" hidden="false" customHeight="true" outlineLevel="0" collapsed="false">
      <c r="A412" s="9" t="s">
        <v>181</v>
      </c>
      <c r="B412" s="11" t="s">
        <v>122</v>
      </c>
      <c r="C412" s="11" t="s">
        <v>33</v>
      </c>
      <c r="D412" s="27" t="n">
        <f aca="false">IF('TEa input'!R31="","",'TEa input'!R31)</f>
        <v>8.9</v>
      </c>
      <c r="E412" s="28" t="n">
        <f aca="false">IF(D412="","",MIN(Sigma!AH57:AH58))</f>
        <v>7.17452006980803</v>
      </c>
    </row>
    <row r="413" customFormat="false" ht="15" hidden="false" customHeight="true" outlineLevel="0" collapsed="false">
      <c r="A413" s="9" t="s">
        <v>181</v>
      </c>
      <c r="B413" s="11" t="s">
        <v>122</v>
      </c>
      <c r="C413" s="11" t="s">
        <v>34</v>
      </c>
      <c r="D413" s="27" t="n">
        <f aca="false">IF('TEa input'!T31="","",'TEa input'!T31)</f>
        <v>15</v>
      </c>
      <c r="E413" s="28" t="n">
        <f aca="false">IF(D413="","",MIN(Sigma!AI57:AI58))</f>
        <v>12.4973821989529</v>
      </c>
    </row>
    <row r="414" customFormat="false" ht="15" hidden="false" customHeight="true" outlineLevel="0" collapsed="false">
      <c r="A414" s="9" t="s">
        <v>181</v>
      </c>
      <c r="B414" s="11" t="s">
        <v>122</v>
      </c>
      <c r="C414" s="11" t="s">
        <v>320</v>
      </c>
      <c r="D414" s="27" t="str">
        <f aca="false">IF('TEa input'!Y31="","",'TEa input'!Y31)</f>
        <v/>
      </c>
      <c r="E414" s="28" t="str">
        <f aca="false">IF(D414="","",MIN(Sigma!AJ57:AJ58))</f>
        <v/>
      </c>
    </row>
    <row r="415" customFormat="false" ht="15" hidden="false" customHeight="true" outlineLevel="0" collapsed="false">
      <c r="A415" s="9" t="s">
        <v>181</v>
      </c>
      <c r="B415" s="11" t="s">
        <v>122</v>
      </c>
      <c r="C415" s="11" t="s">
        <v>321</v>
      </c>
      <c r="D415" s="27" t="str">
        <f aca="false">IF('TEa input'!Z31="","",'TEa input'!Z31)</f>
        <v/>
      </c>
      <c r="E415" s="28" t="str">
        <f aca="false">IF(D415="","",MIN(Sigma!AK57:AK58))</f>
        <v/>
      </c>
    </row>
    <row r="416" customFormat="false" ht="15" hidden="false" customHeight="true" outlineLevel="0" collapsed="false">
      <c r="A416" s="9" t="s">
        <v>181</v>
      </c>
      <c r="B416" s="11" t="s">
        <v>122</v>
      </c>
      <c r="C416" s="11" t="s">
        <v>322</v>
      </c>
      <c r="D416" s="27" t="str">
        <f aca="false">IF('TEa input'!AA31="","",'TEa input'!AA31)</f>
        <v/>
      </c>
      <c r="E416" s="28" t="str">
        <f aca="false">IF(D416="","",MIN(Sigma!AL57:AL58))</f>
        <v/>
      </c>
    </row>
    <row r="417" customFormat="false" ht="15" hidden="false" customHeight="true" outlineLevel="0" collapsed="false">
      <c r="A417" s="9" t="s">
        <v>181</v>
      </c>
      <c r="B417" s="11" t="s">
        <v>122</v>
      </c>
      <c r="C417" s="11" t="s">
        <v>323</v>
      </c>
      <c r="D417" s="27" t="str">
        <f aca="false">IF('TEa input'!AB31="","",'TEa input'!AB31)</f>
        <v/>
      </c>
      <c r="E417" s="28" t="str">
        <f aca="false">IF(D417="","",MIN(Sigma!AM57:AM58))</f>
        <v/>
      </c>
    </row>
    <row r="418" customFormat="false" ht="15" hidden="false" customHeight="true" outlineLevel="0" collapsed="false">
      <c r="A418" s="9" t="s">
        <v>181</v>
      </c>
      <c r="B418" s="11" t="s">
        <v>122</v>
      </c>
      <c r="C418" s="11" t="s">
        <v>324</v>
      </c>
      <c r="D418" s="27" t="n">
        <f aca="false">IF('TEa input'!AC31="","",'TEa input'!AC31)</f>
        <v>4.8</v>
      </c>
      <c r="E418" s="28" t="n">
        <f aca="false">IF(D418="","",MIN(Sigma!AN57:AN58))</f>
        <v>3.59685863874346</v>
      </c>
    </row>
    <row r="419" customFormat="false" ht="15" hidden="false" customHeight="true" outlineLevel="0" collapsed="false">
      <c r="A419" s="9" t="s">
        <v>181</v>
      </c>
      <c r="B419" s="11" t="s">
        <v>122</v>
      </c>
      <c r="C419" s="11" t="s">
        <v>325</v>
      </c>
      <c r="D419" s="27" t="str">
        <f aca="false">IF('TEa input'!AD31="","",'TEa input'!AD31)</f>
        <v/>
      </c>
      <c r="E419" s="28" t="str">
        <f aca="false">IF(D419="","",MIN(Sigma!AO57:AO58))</f>
        <v/>
      </c>
    </row>
    <row r="420" customFormat="false" ht="15" hidden="false" customHeight="true" outlineLevel="0" collapsed="false">
      <c r="A420" s="9" t="s">
        <v>181</v>
      </c>
      <c r="B420" s="11" t="s">
        <v>122</v>
      </c>
      <c r="C420" s="29" t="str">
        <f aca="false">IF('TEa input'!AE31="","Other",'TEa input'!AE31)</f>
        <v>Other</v>
      </c>
      <c r="D420" s="27" t="str">
        <f aca="false">IF('TEa input'!AF31="","",'TEa input'!AF31)</f>
        <v/>
      </c>
      <c r="E420" s="28" t="str">
        <f aca="false">IF(D420="","",MIN(Sigma!AP57:AP58))</f>
        <v/>
      </c>
    </row>
    <row r="421" customFormat="false" ht="15" hidden="false" customHeight="true" outlineLevel="0" collapsed="false">
      <c r="A421" s="9" t="s">
        <v>186</v>
      </c>
      <c r="B421" s="11" t="s">
        <v>122</v>
      </c>
      <c r="C421" s="11" t="s">
        <v>26</v>
      </c>
      <c r="D421" s="27" t="str">
        <f aca="false">IF('TEa input'!E32="","",'TEa input'!E32)</f>
        <v/>
      </c>
      <c r="E421" s="28" t="str">
        <f aca="false">IF(D421="","",MIN(Sigma!AA59:AA61))</f>
        <v/>
      </c>
    </row>
    <row r="422" customFormat="false" ht="15" hidden="false" customHeight="true" outlineLevel="0" collapsed="false">
      <c r="A422" s="9" t="s">
        <v>186</v>
      </c>
      <c r="B422" s="11" t="s">
        <v>122</v>
      </c>
      <c r="C422" s="11" t="s">
        <v>27</v>
      </c>
      <c r="D422" s="27" t="n">
        <f aca="false">IF('TEa input'!G32="","",'TEa input'!G32)</f>
        <v>30</v>
      </c>
      <c r="E422" s="28" t="n">
        <f aca="false">IF(D422="","",MIN(Sigma!AB59:AB61))</f>
        <v>10.4038260869565</v>
      </c>
    </row>
    <row r="423" customFormat="false" ht="15" hidden="false" customHeight="true" outlineLevel="0" collapsed="false">
      <c r="A423" s="9" t="s">
        <v>186</v>
      </c>
      <c r="B423" s="11" t="s">
        <v>122</v>
      </c>
      <c r="C423" s="11" t="s">
        <v>28</v>
      </c>
      <c r="D423" s="27" t="n">
        <f aca="false">IF('TEa input'!I32="","",'TEa input'!I32)</f>
        <v>13.5</v>
      </c>
      <c r="E423" s="28" t="n">
        <f aca="false">IF(D423="","",MIN(Sigma!AC59:AC61))</f>
        <v>4.66469565217391</v>
      </c>
    </row>
    <row r="424" customFormat="false" ht="15" hidden="false" customHeight="true" outlineLevel="0" collapsed="false">
      <c r="A424" s="9" t="s">
        <v>186</v>
      </c>
      <c r="B424" s="11" t="s">
        <v>122</v>
      </c>
      <c r="C424" s="11" t="s">
        <v>29</v>
      </c>
      <c r="D424" s="27" t="str">
        <f aca="false">IF('TEa input'!K32="","",'TEa input'!K32)</f>
        <v/>
      </c>
      <c r="E424" s="28" t="str">
        <f aca="false">IF(D424="","",MIN(Sigma!AD59:AD61))</f>
        <v/>
      </c>
    </row>
    <row r="425" customFormat="false" ht="15" hidden="false" customHeight="true" outlineLevel="0" collapsed="false">
      <c r="A425" s="9" t="s">
        <v>186</v>
      </c>
      <c r="B425" s="11" t="s">
        <v>122</v>
      </c>
      <c r="C425" s="11" t="s">
        <v>30</v>
      </c>
      <c r="D425" s="27" t="n">
        <f aca="false">IF('TEa input'!M32="","",'TEa input'!M32)</f>
        <v>20</v>
      </c>
      <c r="E425" s="28" t="n">
        <f aca="false">IF(D425="","",MIN(Sigma!AE59:AE61))</f>
        <v>6.92556521739131</v>
      </c>
    </row>
    <row r="426" customFormat="false" ht="15" hidden="false" customHeight="true" outlineLevel="0" collapsed="false">
      <c r="A426" s="9" t="s">
        <v>186</v>
      </c>
      <c r="B426" s="11" t="s">
        <v>122</v>
      </c>
      <c r="C426" s="11" t="s">
        <v>31</v>
      </c>
      <c r="D426" s="27" t="str">
        <f aca="false">IF('TEa input'!O32="","",'TEa input'!O32)</f>
        <v/>
      </c>
      <c r="E426" s="28" t="str">
        <f aca="false">IF(D426="","",MIN(Sigma!AF59:AF61))</f>
        <v/>
      </c>
    </row>
    <row r="427" customFormat="false" ht="15" hidden="false" customHeight="true" outlineLevel="0" collapsed="false">
      <c r="A427" s="9" t="s">
        <v>186</v>
      </c>
      <c r="B427" s="11" t="s">
        <v>122</v>
      </c>
      <c r="C427" s="11" t="s">
        <v>32</v>
      </c>
      <c r="D427" s="27" t="str">
        <f aca="false">IF('TEa input'!Q32="","",'TEa input'!Q32)</f>
        <v/>
      </c>
      <c r="E427" s="28" t="str">
        <f aca="false">IF(D427="","",MIN(Sigma!AG59:AG61))</f>
        <v/>
      </c>
    </row>
    <row r="428" customFormat="false" ht="15" hidden="false" customHeight="true" outlineLevel="0" collapsed="false">
      <c r="A428" s="9" t="s">
        <v>186</v>
      </c>
      <c r="B428" s="11" t="s">
        <v>122</v>
      </c>
      <c r="C428" s="11" t="s">
        <v>33</v>
      </c>
      <c r="D428" s="27" t="str">
        <f aca="false">IF('TEa input'!R32="","",'TEa input'!R32)</f>
        <v/>
      </c>
      <c r="E428" s="28" t="str">
        <f aca="false">IF(D428="","",MIN(Sigma!AH59:AH61))</f>
        <v/>
      </c>
    </row>
    <row r="429" customFormat="false" ht="15" hidden="false" customHeight="true" outlineLevel="0" collapsed="false">
      <c r="A429" s="9" t="s">
        <v>186</v>
      </c>
      <c r="B429" s="11" t="s">
        <v>122</v>
      </c>
      <c r="C429" s="11" t="s">
        <v>34</v>
      </c>
      <c r="D429" s="27" t="n">
        <f aca="false">IF('TEa input'!T32="","",'TEa input'!T32)</f>
        <v>20</v>
      </c>
      <c r="E429" s="28" t="n">
        <f aca="false">IF(D429="","",MIN(Sigma!AI59:AI61))</f>
        <v>6.92556521739131</v>
      </c>
    </row>
    <row r="430" customFormat="false" ht="15" hidden="false" customHeight="true" outlineLevel="0" collapsed="false">
      <c r="A430" s="9" t="s">
        <v>186</v>
      </c>
      <c r="B430" s="11" t="s">
        <v>122</v>
      </c>
      <c r="C430" s="11" t="s">
        <v>320</v>
      </c>
      <c r="D430" s="27" t="str">
        <f aca="false">IF('TEa input'!Y32="","",'TEa input'!Y32)</f>
        <v/>
      </c>
      <c r="E430" s="28" t="str">
        <f aca="false">IF(D430="","",MIN(Sigma!AJ59:AJ61))</f>
        <v/>
      </c>
    </row>
    <row r="431" customFormat="false" ht="15" hidden="false" customHeight="true" outlineLevel="0" collapsed="false">
      <c r="A431" s="9" t="s">
        <v>186</v>
      </c>
      <c r="B431" s="11" t="s">
        <v>122</v>
      </c>
      <c r="C431" s="11" t="s">
        <v>321</v>
      </c>
      <c r="D431" s="27" t="str">
        <f aca="false">IF('TEa input'!Z32="","",'TEa input'!Z32)</f>
        <v/>
      </c>
      <c r="E431" s="28" t="str">
        <f aca="false">IF(D431="","",MIN(Sigma!AK59:AK61))</f>
        <v/>
      </c>
    </row>
    <row r="432" customFormat="false" ht="15" hidden="false" customHeight="true" outlineLevel="0" collapsed="false">
      <c r="A432" s="9" t="s">
        <v>186</v>
      </c>
      <c r="B432" s="11" t="s">
        <v>122</v>
      </c>
      <c r="C432" s="11" t="s">
        <v>322</v>
      </c>
      <c r="D432" s="27" t="str">
        <f aca="false">IF('TEa input'!AA32="","",'TEa input'!AA32)</f>
        <v/>
      </c>
      <c r="E432" s="28" t="str">
        <f aca="false">IF(D432="","",MIN(Sigma!AL59:AL61))</f>
        <v/>
      </c>
    </row>
    <row r="433" customFormat="false" ht="15" hidden="false" customHeight="true" outlineLevel="0" collapsed="false">
      <c r="A433" s="9" t="s">
        <v>186</v>
      </c>
      <c r="B433" s="11" t="s">
        <v>122</v>
      </c>
      <c r="C433" s="11" t="s">
        <v>323</v>
      </c>
      <c r="D433" s="27" t="str">
        <f aca="false">IF('TEa input'!AB32="","",'TEa input'!AB32)</f>
        <v/>
      </c>
      <c r="E433" s="28" t="str">
        <f aca="false">IF(D433="","",MIN(Sigma!AM59:AM61))</f>
        <v/>
      </c>
    </row>
    <row r="434" customFormat="false" ht="15" hidden="false" customHeight="true" outlineLevel="0" collapsed="false">
      <c r="A434" s="9" t="s">
        <v>186</v>
      </c>
      <c r="B434" s="11" t="s">
        <v>122</v>
      </c>
      <c r="C434" s="11" t="s">
        <v>324</v>
      </c>
      <c r="D434" s="27" t="str">
        <f aca="false">IF('TEa input'!AC32="","",'TEa input'!AC32)</f>
        <v/>
      </c>
      <c r="E434" s="28" t="str">
        <f aca="false">IF(D434="","",MIN(Sigma!AN59:AN61))</f>
        <v/>
      </c>
    </row>
    <row r="435" customFormat="false" ht="15" hidden="false" customHeight="true" outlineLevel="0" collapsed="false">
      <c r="A435" s="9" t="s">
        <v>186</v>
      </c>
      <c r="B435" s="11" t="s">
        <v>122</v>
      </c>
      <c r="C435" s="11" t="s">
        <v>325</v>
      </c>
      <c r="D435" s="27" t="str">
        <f aca="false">IF('TEa input'!AD32="","",'TEa input'!AD32)</f>
        <v/>
      </c>
      <c r="E435" s="28" t="str">
        <f aca="false">IF(D435="","",MIN(Sigma!AO59:AO61))</f>
        <v/>
      </c>
    </row>
    <row r="436" customFormat="false" ht="15" hidden="false" customHeight="true" outlineLevel="0" collapsed="false">
      <c r="A436" s="9" t="s">
        <v>186</v>
      </c>
      <c r="B436" s="11" t="s">
        <v>122</v>
      </c>
      <c r="C436" s="29" t="str">
        <f aca="false">IF('TEa input'!AE32="","Other",'TEa input'!AE32)</f>
        <v>Other</v>
      </c>
      <c r="D436" s="27" t="str">
        <f aca="false">IF('TEa input'!AF32="","",'TEa input'!AF32)</f>
        <v/>
      </c>
      <c r="E436" s="28" t="str">
        <f aca="false">IF(D436="","",MIN(Sigma!AP59:AP61))</f>
        <v/>
      </c>
    </row>
    <row r="437" customFormat="false" ht="15" hidden="false" customHeight="true" outlineLevel="0" collapsed="false">
      <c r="A437" s="9" t="s">
        <v>190</v>
      </c>
      <c r="B437" s="11" t="s">
        <v>122</v>
      </c>
      <c r="C437" s="11" t="s">
        <v>26</v>
      </c>
      <c r="D437" s="27" t="n">
        <f aca="false">IF('TEa input'!E33="","",'TEa input'!E33)</f>
        <v>5</v>
      </c>
      <c r="E437" s="28" t="n">
        <f aca="false">IF(D437="","",MIN(Sigma!AA62:AA63))</f>
        <v>3.81752411575563</v>
      </c>
    </row>
    <row r="438" customFormat="false" ht="15" hidden="false" customHeight="true" outlineLevel="0" collapsed="false">
      <c r="A438" s="9" t="s">
        <v>190</v>
      </c>
      <c r="B438" s="11" t="s">
        <v>122</v>
      </c>
      <c r="C438" s="11" t="s">
        <v>27</v>
      </c>
      <c r="D438" s="27" t="n">
        <f aca="false">IF('TEa input'!G33="","",'TEa input'!G33)</f>
        <v>10</v>
      </c>
      <c r="E438" s="28" t="n">
        <f aca="false">IF(D438="","",MIN(Sigma!AB62:AB63))</f>
        <v>7.83681672025724</v>
      </c>
    </row>
    <row r="439" customFormat="false" ht="15" hidden="false" customHeight="true" outlineLevel="0" collapsed="false">
      <c r="A439" s="9" t="s">
        <v>190</v>
      </c>
      <c r="B439" s="11" t="s">
        <v>122</v>
      </c>
      <c r="C439" s="11" t="s">
        <v>28</v>
      </c>
      <c r="D439" s="27" t="n">
        <f aca="false">IF('TEa input'!I33="","",'TEa input'!I33)</f>
        <v>7</v>
      </c>
      <c r="E439" s="28" t="n">
        <f aca="false">IF(D439="","",MIN(Sigma!AC62:AC63))</f>
        <v>5.42524115755627</v>
      </c>
    </row>
    <row r="440" customFormat="false" ht="15" hidden="false" customHeight="true" outlineLevel="0" collapsed="false">
      <c r="A440" s="9" t="s">
        <v>190</v>
      </c>
      <c r="B440" s="11" t="s">
        <v>122</v>
      </c>
      <c r="C440" s="11" t="s">
        <v>29</v>
      </c>
      <c r="D440" s="27" t="str">
        <f aca="false">IF('TEa input'!K33="","",'TEa input'!K33)</f>
        <v/>
      </c>
      <c r="E440" s="28" t="str">
        <f aca="false">IF(D440="","",MIN(Sigma!AD62:AD63))</f>
        <v/>
      </c>
    </row>
    <row r="441" customFormat="false" ht="15" hidden="false" customHeight="true" outlineLevel="0" collapsed="false">
      <c r="A441" s="9" t="s">
        <v>190</v>
      </c>
      <c r="B441" s="11" t="s">
        <v>122</v>
      </c>
      <c r="C441" s="11" t="s">
        <v>30</v>
      </c>
      <c r="D441" s="27" t="n">
        <f aca="false">IF('TEa input'!M33="","",'TEa input'!M33)</f>
        <v>6</v>
      </c>
      <c r="E441" s="28" t="n">
        <f aca="false">IF(D441="","",MIN(Sigma!AE62:AE63))</f>
        <v>4.62138263665595</v>
      </c>
    </row>
    <row r="442" customFormat="false" ht="15" hidden="false" customHeight="true" outlineLevel="0" collapsed="false">
      <c r="A442" s="9" t="s">
        <v>190</v>
      </c>
      <c r="B442" s="11" t="s">
        <v>122</v>
      </c>
      <c r="C442" s="11" t="s">
        <v>31</v>
      </c>
      <c r="D442" s="27" t="n">
        <f aca="false">IF('TEa input'!O33="","",'TEa input'!O33)</f>
        <v>9</v>
      </c>
      <c r="E442" s="28" t="n">
        <f aca="false">IF(D442="","",MIN(Sigma!AF62:AF63))</f>
        <v>7.03295819935691</v>
      </c>
    </row>
    <row r="443" customFormat="false" ht="15" hidden="false" customHeight="true" outlineLevel="0" collapsed="false">
      <c r="A443" s="9" t="s">
        <v>190</v>
      </c>
      <c r="B443" s="11" t="s">
        <v>122</v>
      </c>
      <c r="C443" s="11" t="s">
        <v>32</v>
      </c>
      <c r="D443" s="27" t="n">
        <f aca="false">IF('TEa input'!Q33="","",'TEa input'!Q33)</f>
        <v>8.5</v>
      </c>
      <c r="E443" s="28" t="n">
        <f aca="false">IF(D443="","",MIN(Sigma!AG62:AG63))</f>
        <v>6.63102893890675</v>
      </c>
    </row>
    <row r="444" customFormat="false" ht="15" hidden="false" customHeight="true" outlineLevel="0" collapsed="false">
      <c r="A444" s="9" t="s">
        <v>190</v>
      </c>
      <c r="B444" s="11" t="s">
        <v>122</v>
      </c>
      <c r="C444" s="11" t="s">
        <v>33</v>
      </c>
      <c r="D444" s="27" t="n">
        <f aca="false">IF('TEa input'!R33="","",'TEa input'!R33)</f>
        <v>6.5</v>
      </c>
      <c r="E444" s="28" t="n">
        <f aca="false">IF(D444="","",MIN(Sigma!AH62:AH63))</f>
        <v>5.02331189710611</v>
      </c>
    </row>
    <row r="445" customFormat="false" ht="15" hidden="false" customHeight="true" outlineLevel="0" collapsed="false">
      <c r="A445" s="9" t="s">
        <v>190</v>
      </c>
      <c r="B445" s="11" t="s">
        <v>122</v>
      </c>
      <c r="C445" s="11" t="s">
        <v>34</v>
      </c>
      <c r="D445" s="27" t="n">
        <f aca="false">IF('TEa input'!T33="","",'TEa input'!T33)</f>
        <v>13</v>
      </c>
      <c r="E445" s="28" t="n">
        <f aca="false">IF(D445="","",MIN(Sigma!AI62:AI63))</f>
        <v>10.2483922829582</v>
      </c>
    </row>
    <row r="446" customFormat="false" ht="15" hidden="false" customHeight="true" outlineLevel="0" collapsed="false">
      <c r="A446" s="9" t="s">
        <v>190</v>
      </c>
      <c r="B446" s="11" t="s">
        <v>122</v>
      </c>
      <c r="C446" s="11" t="s">
        <v>320</v>
      </c>
      <c r="D446" s="27" t="str">
        <f aca="false">IF('TEa input'!Y33="","",'TEa input'!Y33)</f>
        <v/>
      </c>
      <c r="E446" s="28" t="str">
        <f aca="false">IF(D446="","",MIN(Sigma!AJ62:AJ63))</f>
        <v/>
      </c>
    </row>
    <row r="447" customFormat="false" ht="15" hidden="false" customHeight="true" outlineLevel="0" collapsed="false">
      <c r="A447" s="9" t="s">
        <v>190</v>
      </c>
      <c r="B447" s="11" t="s">
        <v>122</v>
      </c>
      <c r="C447" s="11" t="s">
        <v>321</v>
      </c>
      <c r="D447" s="27" t="str">
        <f aca="false">IF('TEa input'!Z33="","",'TEa input'!Z33)</f>
        <v/>
      </c>
      <c r="E447" s="28" t="str">
        <f aca="false">IF(D447="","",MIN(Sigma!AK62:AK63))</f>
        <v/>
      </c>
    </row>
    <row r="448" customFormat="false" ht="15" hidden="false" customHeight="true" outlineLevel="0" collapsed="false">
      <c r="A448" s="9" t="s">
        <v>190</v>
      </c>
      <c r="B448" s="11" t="s">
        <v>122</v>
      </c>
      <c r="C448" s="11" t="s">
        <v>322</v>
      </c>
      <c r="D448" s="27" t="str">
        <f aca="false">IF('TEa input'!AA33="","",'TEa input'!AA33)</f>
        <v/>
      </c>
      <c r="E448" s="28" t="str">
        <f aca="false">IF(D448="","",MIN(Sigma!AL62:AL63))</f>
        <v/>
      </c>
    </row>
    <row r="449" customFormat="false" ht="15" hidden="false" customHeight="true" outlineLevel="0" collapsed="false">
      <c r="A449" s="9" t="s">
        <v>190</v>
      </c>
      <c r="B449" s="11" t="s">
        <v>122</v>
      </c>
      <c r="C449" s="11" t="s">
        <v>323</v>
      </c>
      <c r="D449" s="27" t="str">
        <f aca="false">IF('TEa input'!AB33="","",'TEa input'!AB33)</f>
        <v/>
      </c>
      <c r="E449" s="28" t="str">
        <f aca="false">IF(D449="","",MIN(Sigma!AM62:AM63))</f>
        <v/>
      </c>
    </row>
    <row r="450" customFormat="false" ht="15" hidden="false" customHeight="true" outlineLevel="0" collapsed="false">
      <c r="A450" s="9" t="s">
        <v>190</v>
      </c>
      <c r="B450" s="11" t="s">
        <v>122</v>
      </c>
      <c r="C450" s="11" t="s">
        <v>324</v>
      </c>
      <c r="D450" s="27" t="n">
        <f aca="false">IF('TEa input'!AC33="","",'TEa input'!AC33)</f>
        <v>9.01</v>
      </c>
      <c r="E450" s="28" t="n">
        <f aca="false">IF(D450="","",MIN(Sigma!AN62:AN63))</f>
        <v>7.04099678456592</v>
      </c>
    </row>
    <row r="451" customFormat="false" ht="15" hidden="false" customHeight="true" outlineLevel="0" collapsed="false">
      <c r="A451" s="9" t="s">
        <v>190</v>
      </c>
      <c r="B451" s="11" t="s">
        <v>122</v>
      </c>
      <c r="C451" s="11" t="s">
        <v>325</v>
      </c>
      <c r="D451" s="27" t="str">
        <f aca="false">IF('TEa input'!AD33="","",'TEa input'!AD33)</f>
        <v/>
      </c>
      <c r="E451" s="28" t="str">
        <f aca="false">IF(D451="","",MIN(Sigma!AO62:AO63))</f>
        <v/>
      </c>
    </row>
    <row r="452" customFormat="false" ht="15" hidden="false" customHeight="true" outlineLevel="0" collapsed="false">
      <c r="A452" s="9" t="s">
        <v>190</v>
      </c>
      <c r="B452" s="11" t="s">
        <v>122</v>
      </c>
      <c r="C452" s="29" t="str">
        <f aca="false">IF('TEa input'!AE33="","Other",'TEa input'!AE33)</f>
        <v>Other</v>
      </c>
      <c r="D452" s="27" t="str">
        <f aca="false">IF('TEa input'!AF33="","",'TEa input'!AF33)</f>
        <v/>
      </c>
      <c r="E452" s="28" t="str">
        <f aca="false">IF(D452="","",MIN(Sigma!AP62:AP63))</f>
        <v/>
      </c>
    </row>
    <row r="453" customFormat="false" ht="15" hidden="false" customHeight="true" outlineLevel="0" collapsed="false">
      <c r="A453" s="9" t="s">
        <v>193</v>
      </c>
      <c r="B453" s="11" t="s">
        <v>122</v>
      </c>
      <c r="C453" s="11" t="s">
        <v>26</v>
      </c>
      <c r="D453" s="27" t="n">
        <f aca="false">IF('TEa input'!E34="","",'TEa input'!E34)</f>
        <v>10</v>
      </c>
      <c r="E453" s="28" t="n">
        <f aca="false">IF(D453="","",MIN(Sigma!AA64:AA65))</f>
        <v>3.62646947288586</v>
      </c>
    </row>
    <row r="454" customFormat="false" ht="15" hidden="false" customHeight="true" outlineLevel="0" collapsed="false">
      <c r="A454" s="9" t="s">
        <v>193</v>
      </c>
      <c r="B454" s="11" t="s">
        <v>122</v>
      </c>
      <c r="C454" s="11" t="s">
        <v>27</v>
      </c>
      <c r="D454" s="27" t="n">
        <f aca="false">IF('TEa input'!G34="","",'TEa input'!G34)</f>
        <v>20</v>
      </c>
      <c r="E454" s="28" t="n">
        <f aca="false">IF(D454="","",MIN(Sigma!AB64:AB65))</f>
        <v>7.41865756541524</v>
      </c>
    </row>
    <row r="455" customFormat="false" ht="15" hidden="false" customHeight="true" outlineLevel="0" collapsed="false">
      <c r="A455" s="9" t="s">
        <v>193</v>
      </c>
      <c r="B455" s="11" t="s">
        <v>122</v>
      </c>
      <c r="C455" s="11" t="s">
        <v>28</v>
      </c>
      <c r="D455" s="27" t="n">
        <f aca="false">IF('TEa input'!I34="","",'TEa input'!I34)</f>
        <v>13</v>
      </c>
      <c r="E455" s="28" t="n">
        <f aca="false">IF(D455="","",MIN(Sigma!AC64:AC65))</f>
        <v>4.76412590064467</v>
      </c>
    </row>
    <row r="456" customFormat="false" ht="15" hidden="false" customHeight="true" outlineLevel="0" collapsed="false">
      <c r="A456" s="9" t="s">
        <v>193</v>
      </c>
      <c r="B456" s="11" t="s">
        <v>122</v>
      </c>
      <c r="C456" s="11" t="s">
        <v>29</v>
      </c>
      <c r="D456" s="27" t="str">
        <f aca="false">IF('TEa input'!K34="","",'TEa input'!K34)</f>
        <v/>
      </c>
      <c r="E456" s="28" t="str">
        <f aca="false">IF(D456="","",MIN(Sigma!AD64:AD65))</f>
        <v/>
      </c>
    </row>
    <row r="457" customFormat="false" ht="15" hidden="false" customHeight="true" outlineLevel="0" collapsed="false">
      <c r="A457" s="9" t="s">
        <v>193</v>
      </c>
      <c r="B457" s="11" t="s">
        <v>122</v>
      </c>
      <c r="C457" s="11" t="s">
        <v>30</v>
      </c>
      <c r="D457" s="27" t="n">
        <f aca="false">IF('TEa input'!M34="","",'TEa input'!M34)</f>
        <v>12</v>
      </c>
      <c r="E457" s="28" t="n">
        <f aca="false">IF(D457="","",MIN(Sigma!AE64:AE65))</f>
        <v>4.38490709139173</v>
      </c>
    </row>
    <row r="458" customFormat="false" ht="15" hidden="false" customHeight="true" outlineLevel="0" collapsed="false">
      <c r="A458" s="9" t="s">
        <v>193</v>
      </c>
      <c r="B458" s="11" t="s">
        <v>122</v>
      </c>
      <c r="C458" s="11" t="s">
        <v>31</v>
      </c>
      <c r="D458" s="27" t="n">
        <f aca="false">IF('TEa input'!O34="","",'TEa input'!O34)</f>
        <v>20</v>
      </c>
      <c r="E458" s="28" t="n">
        <f aca="false">IF(D458="","",MIN(Sigma!AF64:AF65))</f>
        <v>7.41865756541524</v>
      </c>
    </row>
    <row r="459" customFormat="false" ht="15" hidden="false" customHeight="true" outlineLevel="0" collapsed="false">
      <c r="A459" s="9" t="s">
        <v>193</v>
      </c>
      <c r="B459" s="11" t="s">
        <v>122</v>
      </c>
      <c r="C459" s="11" t="s">
        <v>32</v>
      </c>
      <c r="D459" s="27" t="n">
        <f aca="false">IF('TEa input'!Q34="","",'TEa input'!Q34)</f>
        <v>15</v>
      </c>
      <c r="E459" s="28" t="n">
        <f aca="false">IF(D459="","",MIN(Sigma!AG64:AG65))</f>
        <v>5.52256351915055</v>
      </c>
    </row>
    <row r="460" customFormat="false" ht="15" hidden="false" customHeight="true" outlineLevel="0" collapsed="false">
      <c r="A460" s="9" t="s">
        <v>193</v>
      </c>
      <c r="B460" s="11" t="s">
        <v>122</v>
      </c>
      <c r="C460" s="11" t="s">
        <v>33</v>
      </c>
      <c r="D460" s="27" t="n">
        <f aca="false">IF('TEa input'!R34="","",'TEa input'!R34)</f>
        <v>15.3</v>
      </c>
      <c r="E460" s="28" t="n">
        <f aca="false">IF(D460="","",MIN(Sigma!AH64:AH65))</f>
        <v>5.63632916192643</v>
      </c>
    </row>
    <row r="461" customFormat="false" ht="15" hidden="false" customHeight="true" outlineLevel="0" collapsed="false">
      <c r="A461" s="9" t="s">
        <v>193</v>
      </c>
      <c r="B461" s="11" t="s">
        <v>122</v>
      </c>
      <c r="C461" s="11" t="s">
        <v>34</v>
      </c>
      <c r="D461" s="27" t="n">
        <f aca="false">IF('TEa input'!T34="","",'TEa input'!T34)</f>
        <v>20</v>
      </c>
      <c r="E461" s="28" t="n">
        <f aca="false">IF(D461="","",MIN(Sigma!AI64:AI65))</f>
        <v>7.41865756541524</v>
      </c>
    </row>
    <row r="462" customFormat="false" ht="15" hidden="false" customHeight="true" outlineLevel="0" collapsed="false">
      <c r="A462" s="9" t="s">
        <v>193</v>
      </c>
      <c r="B462" s="11" t="s">
        <v>122</v>
      </c>
      <c r="C462" s="11" t="s">
        <v>320</v>
      </c>
      <c r="D462" s="27" t="str">
        <f aca="false">IF('TEa input'!Y34="","",'TEa input'!Y34)</f>
        <v/>
      </c>
      <c r="E462" s="28" t="str">
        <f aca="false">IF(D462="","",MIN(Sigma!AJ64:AJ65))</f>
        <v/>
      </c>
    </row>
    <row r="463" customFormat="false" ht="15" hidden="false" customHeight="true" outlineLevel="0" collapsed="false">
      <c r="A463" s="9" t="s">
        <v>193</v>
      </c>
      <c r="B463" s="11" t="s">
        <v>122</v>
      </c>
      <c r="C463" s="11" t="s">
        <v>321</v>
      </c>
      <c r="D463" s="27" t="str">
        <f aca="false">IF('TEa input'!Z34="","",'TEa input'!Z34)</f>
        <v/>
      </c>
      <c r="E463" s="28" t="str">
        <f aca="false">IF(D463="","",MIN(Sigma!AK64:AK65))</f>
        <v/>
      </c>
    </row>
    <row r="464" customFormat="false" ht="15" hidden="false" customHeight="true" outlineLevel="0" collapsed="false">
      <c r="A464" s="9" t="s">
        <v>193</v>
      </c>
      <c r="B464" s="11" t="s">
        <v>122</v>
      </c>
      <c r="C464" s="11" t="s">
        <v>322</v>
      </c>
      <c r="D464" s="27" t="str">
        <f aca="false">IF('TEa input'!AA34="","",'TEa input'!AA34)</f>
        <v/>
      </c>
      <c r="E464" s="28" t="str">
        <f aca="false">IF(D464="","",MIN(Sigma!AL64:AL65))</f>
        <v/>
      </c>
    </row>
    <row r="465" customFormat="false" ht="15" hidden="false" customHeight="true" outlineLevel="0" collapsed="false">
      <c r="A465" s="9" t="s">
        <v>193</v>
      </c>
      <c r="B465" s="11" t="s">
        <v>122</v>
      </c>
      <c r="C465" s="11" t="s">
        <v>323</v>
      </c>
      <c r="D465" s="27" t="str">
        <f aca="false">IF('TEa input'!AB34="","",'TEa input'!AB34)</f>
        <v/>
      </c>
      <c r="E465" s="28" t="str">
        <f aca="false">IF(D465="","",MIN(Sigma!AM64:AM65))</f>
        <v/>
      </c>
    </row>
    <row r="466" customFormat="false" ht="15" hidden="false" customHeight="true" outlineLevel="0" collapsed="false">
      <c r="A466" s="9" t="s">
        <v>193</v>
      </c>
      <c r="B466" s="11" t="s">
        <v>122</v>
      </c>
      <c r="C466" s="11" t="s">
        <v>324</v>
      </c>
      <c r="D466" s="27" t="n">
        <f aca="false">IF('TEa input'!AC34="","",'TEa input'!AC34)</f>
        <v>11.63</v>
      </c>
      <c r="E466" s="28" t="n">
        <f aca="false">IF(D466="","",MIN(Sigma!AN64:AN65))</f>
        <v>4.24459613196815</v>
      </c>
    </row>
    <row r="467" customFormat="false" ht="15" hidden="false" customHeight="true" outlineLevel="0" collapsed="false">
      <c r="A467" s="9" t="s">
        <v>193</v>
      </c>
      <c r="B467" s="11" t="s">
        <v>122</v>
      </c>
      <c r="C467" s="11" t="s">
        <v>325</v>
      </c>
      <c r="D467" s="27" t="str">
        <f aca="false">IF('TEa input'!AD34="","",'TEa input'!AD34)</f>
        <v/>
      </c>
      <c r="E467" s="28" t="str">
        <f aca="false">IF(D467="","",MIN(Sigma!AO64:AO65))</f>
        <v/>
      </c>
    </row>
    <row r="468" customFormat="false" ht="15" hidden="false" customHeight="true" outlineLevel="0" collapsed="false">
      <c r="A468" s="9" t="s">
        <v>193</v>
      </c>
      <c r="B468" s="11" t="s">
        <v>122</v>
      </c>
      <c r="C468" s="29" t="str">
        <f aca="false">IF('TEa input'!AE34="","Other",'TEa input'!AE34)</f>
        <v>Other</v>
      </c>
      <c r="D468" s="27" t="str">
        <f aca="false">IF('TEa input'!AF34="","",'TEa input'!AF34)</f>
        <v/>
      </c>
      <c r="E468" s="28" t="str">
        <f aca="false">IF(D468="","",MIN(Sigma!AP64:AP65))</f>
        <v/>
      </c>
    </row>
    <row r="469" customFormat="false" ht="15" hidden="false" customHeight="true" outlineLevel="0" collapsed="false">
      <c r="A469" s="9" t="s">
        <v>196</v>
      </c>
      <c r="B469" s="11" t="s">
        <v>122</v>
      </c>
      <c r="C469" s="11" t="s">
        <v>26</v>
      </c>
      <c r="D469" s="27" t="n">
        <f aca="false">IF('TEa input'!E35="","",'TEa input'!E35)</f>
        <v>10</v>
      </c>
      <c r="E469" s="28" t="n">
        <f aca="false">IF(D469="","",MIN(Sigma!AA66:AA67))</f>
        <v>4.56537282941777</v>
      </c>
    </row>
    <row r="470" customFormat="false" ht="15" hidden="false" customHeight="true" outlineLevel="0" collapsed="false">
      <c r="A470" s="9" t="s">
        <v>196</v>
      </c>
      <c r="B470" s="11" t="s">
        <v>122</v>
      </c>
      <c r="C470" s="11" t="s">
        <v>27</v>
      </c>
      <c r="D470" s="27" t="n">
        <f aca="false">IF('TEa input'!G35="","",'TEa input'!G35)</f>
        <v>20</v>
      </c>
      <c r="E470" s="28" t="n">
        <f aca="false">IF(D470="","",MIN(Sigma!AB66:AB67))</f>
        <v>9.67262512768131</v>
      </c>
    </row>
    <row r="471" customFormat="false" ht="15" hidden="false" customHeight="true" outlineLevel="0" collapsed="false">
      <c r="A471" s="9" t="s">
        <v>196</v>
      </c>
      <c r="B471" s="11" t="s">
        <v>122</v>
      </c>
      <c r="C471" s="11" t="s">
        <v>28</v>
      </c>
      <c r="D471" s="27" t="n">
        <f aca="false">IF('TEa input'!I35="","",'TEa input'!I35)</f>
        <v>9</v>
      </c>
      <c r="E471" s="28" t="n">
        <f aca="false">IF(D471="","",MIN(Sigma!AC66:AC67))</f>
        <v>4.05464759959142</v>
      </c>
    </row>
    <row r="472" customFormat="false" ht="15" hidden="false" customHeight="true" outlineLevel="0" collapsed="false">
      <c r="A472" s="9" t="s">
        <v>196</v>
      </c>
      <c r="B472" s="11" t="s">
        <v>122</v>
      </c>
      <c r="C472" s="11" t="s">
        <v>29</v>
      </c>
      <c r="D472" s="27" t="str">
        <f aca="false">IF('TEa input'!K35="","",'TEa input'!K35)</f>
        <v/>
      </c>
      <c r="E472" s="28" t="str">
        <f aca="false">IF(D472="","",MIN(Sigma!AD66:AD67))</f>
        <v/>
      </c>
    </row>
    <row r="473" customFormat="false" ht="15" hidden="false" customHeight="true" outlineLevel="0" collapsed="false">
      <c r="A473" s="9" t="s">
        <v>196</v>
      </c>
      <c r="B473" s="11" t="s">
        <v>122</v>
      </c>
      <c r="C473" s="11" t="s">
        <v>30</v>
      </c>
      <c r="D473" s="27" t="n">
        <f aca="false">IF('TEa input'!M35="","",'TEa input'!M35)</f>
        <v>10</v>
      </c>
      <c r="E473" s="28" t="n">
        <f aca="false">IF(D473="","",MIN(Sigma!AE66:AE67))</f>
        <v>4.56537282941777</v>
      </c>
    </row>
    <row r="474" customFormat="false" ht="15" hidden="false" customHeight="true" outlineLevel="0" collapsed="false">
      <c r="A474" s="9" t="s">
        <v>196</v>
      </c>
      <c r="B474" s="11" t="s">
        <v>122</v>
      </c>
      <c r="C474" s="11" t="s">
        <v>31</v>
      </c>
      <c r="D474" s="27" t="n">
        <f aca="false">IF('TEa input'!O35="","",'TEa input'!O35)</f>
        <v>20</v>
      </c>
      <c r="E474" s="28" t="n">
        <f aca="false">IF(D474="","",MIN(Sigma!AF66:AF67))</f>
        <v>9.67262512768131</v>
      </c>
    </row>
    <row r="475" customFormat="false" ht="15" hidden="false" customHeight="true" outlineLevel="0" collapsed="false">
      <c r="A475" s="9" t="s">
        <v>196</v>
      </c>
      <c r="B475" s="11" t="s">
        <v>122</v>
      </c>
      <c r="C475" s="11" t="s">
        <v>32</v>
      </c>
      <c r="D475" s="27" t="str">
        <f aca="false">IF('TEa input'!Q35="","",'TEa input'!Q35)</f>
        <v/>
      </c>
      <c r="E475" s="28" t="str">
        <f aca="false">IF(D475="","",MIN(Sigma!AG66:AG67))</f>
        <v/>
      </c>
    </row>
    <row r="476" customFormat="false" ht="15" hidden="false" customHeight="true" outlineLevel="0" collapsed="false">
      <c r="A476" s="9" t="s">
        <v>196</v>
      </c>
      <c r="B476" s="11" t="s">
        <v>122</v>
      </c>
      <c r="C476" s="11" t="s">
        <v>33</v>
      </c>
      <c r="D476" s="27" t="str">
        <f aca="false">IF('TEa input'!R35="","",'TEa input'!R35)</f>
        <v/>
      </c>
      <c r="E476" s="28" t="str">
        <f aca="false">IF(D476="","",MIN(Sigma!AH66:AH67))</f>
        <v/>
      </c>
    </row>
    <row r="477" customFormat="false" ht="15" hidden="false" customHeight="true" outlineLevel="0" collapsed="false">
      <c r="A477" s="9" t="s">
        <v>196</v>
      </c>
      <c r="B477" s="11" t="s">
        <v>122</v>
      </c>
      <c r="C477" s="11" t="s">
        <v>34</v>
      </c>
      <c r="D477" s="27" t="n">
        <f aca="false">IF('TEa input'!T35="","",'TEa input'!T35)</f>
        <v>20</v>
      </c>
      <c r="E477" s="28" t="n">
        <f aca="false">IF(D477="","",MIN(Sigma!AI66:AI67))</f>
        <v>9.67262512768131</v>
      </c>
    </row>
    <row r="478" customFormat="false" ht="15" hidden="false" customHeight="true" outlineLevel="0" collapsed="false">
      <c r="A478" s="9" t="s">
        <v>196</v>
      </c>
      <c r="B478" s="11" t="s">
        <v>122</v>
      </c>
      <c r="C478" s="11" t="s">
        <v>320</v>
      </c>
      <c r="D478" s="27" t="str">
        <f aca="false">IF('TEa input'!Y35="","",'TEa input'!Y35)</f>
        <v/>
      </c>
      <c r="E478" s="28" t="str">
        <f aca="false">IF(D478="","",MIN(Sigma!AJ66:AJ67))</f>
        <v/>
      </c>
    </row>
    <row r="479" customFormat="false" ht="15" hidden="false" customHeight="true" outlineLevel="0" collapsed="false">
      <c r="A479" s="9" t="s">
        <v>196</v>
      </c>
      <c r="B479" s="11" t="s">
        <v>122</v>
      </c>
      <c r="C479" s="11" t="s">
        <v>321</v>
      </c>
      <c r="D479" s="27" t="str">
        <f aca="false">IF('TEa input'!Z35="","",'TEa input'!Z35)</f>
        <v/>
      </c>
      <c r="E479" s="28" t="str">
        <f aca="false">IF(D479="","",MIN(Sigma!AK66:AK67))</f>
        <v/>
      </c>
    </row>
    <row r="480" customFormat="false" ht="15" hidden="false" customHeight="true" outlineLevel="0" collapsed="false">
      <c r="A480" s="9" t="s">
        <v>196</v>
      </c>
      <c r="B480" s="11" t="s">
        <v>122</v>
      </c>
      <c r="C480" s="11" t="s">
        <v>322</v>
      </c>
      <c r="D480" s="27" t="str">
        <f aca="false">IF('TEa input'!AA35="","",'TEa input'!AA35)</f>
        <v/>
      </c>
      <c r="E480" s="28" t="str">
        <f aca="false">IF(D480="","",MIN(Sigma!AL66:AL67))</f>
        <v/>
      </c>
    </row>
    <row r="481" customFormat="false" ht="15" hidden="false" customHeight="true" outlineLevel="0" collapsed="false">
      <c r="A481" s="9" t="s">
        <v>196</v>
      </c>
      <c r="B481" s="11" t="s">
        <v>122</v>
      </c>
      <c r="C481" s="11" t="s">
        <v>323</v>
      </c>
      <c r="D481" s="27" t="str">
        <f aca="false">IF('TEa input'!AB35="","",'TEa input'!AB35)</f>
        <v/>
      </c>
      <c r="E481" s="28" t="str">
        <f aca="false">IF(D481="","",MIN(Sigma!AM66:AM67))</f>
        <v/>
      </c>
    </row>
    <row r="482" customFormat="false" ht="15" hidden="false" customHeight="true" outlineLevel="0" collapsed="false">
      <c r="A482" s="9" t="s">
        <v>196</v>
      </c>
      <c r="B482" s="11" t="s">
        <v>122</v>
      </c>
      <c r="C482" s="11" t="s">
        <v>324</v>
      </c>
      <c r="D482" s="27" t="str">
        <f aca="false">IF('TEa input'!AC35="","",'TEa input'!AC35)</f>
        <v/>
      </c>
      <c r="E482" s="28" t="str">
        <f aca="false">IF(D482="","",MIN(Sigma!AN66:AN67))</f>
        <v/>
      </c>
    </row>
    <row r="483" customFormat="false" ht="15" hidden="false" customHeight="true" outlineLevel="0" collapsed="false">
      <c r="A483" s="9" t="s">
        <v>196</v>
      </c>
      <c r="B483" s="11" t="s">
        <v>122</v>
      </c>
      <c r="C483" s="11" t="s">
        <v>325</v>
      </c>
      <c r="D483" s="27" t="str">
        <f aca="false">IF('TEa input'!AD35="","",'TEa input'!AD35)</f>
        <v/>
      </c>
      <c r="E483" s="28" t="str">
        <f aca="false">IF(D483="","",MIN(Sigma!AO66:AO67))</f>
        <v/>
      </c>
    </row>
    <row r="484" customFormat="false" ht="15" hidden="false" customHeight="true" outlineLevel="0" collapsed="false">
      <c r="A484" s="9" t="s">
        <v>196</v>
      </c>
      <c r="B484" s="11" t="s">
        <v>122</v>
      </c>
      <c r="C484" s="29" t="str">
        <f aca="false">IF('TEa input'!AE35="","Other",'TEa input'!AE35)</f>
        <v>Other</v>
      </c>
      <c r="D484" s="27" t="str">
        <f aca="false">IF('TEa input'!AF35="","",'TEa input'!AF35)</f>
        <v/>
      </c>
      <c r="E484" s="28" t="str">
        <f aca="false">IF(D484="","",MIN(Sigma!AP66:AP67))</f>
        <v/>
      </c>
    </row>
    <row r="485" customFormat="false" ht="15" hidden="false" customHeight="true" outlineLevel="0" collapsed="false">
      <c r="A485" s="9" t="s">
        <v>201</v>
      </c>
      <c r="B485" s="11" t="s">
        <v>122</v>
      </c>
      <c r="C485" s="11" t="s">
        <v>26</v>
      </c>
      <c r="D485" s="27" t="n">
        <f aca="false">IF('TEa input'!E36="","",'TEa input'!E36)</f>
        <v>15</v>
      </c>
      <c r="E485" s="28" t="n">
        <f aca="false">IF(D485="","",MIN(Sigma!AA68:AA69))</f>
        <v>8.07822757111597</v>
      </c>
    </row>
    <row r="486" customFormat="false" ht="15" hidden="false" customHeight="true" outlineLevel="0" collapsed="false">
      <c r="A486" s="9" t="s">
        <v>201</v>
      </c>
      <c r="B486" s="11" t="s">
        <v>122</v>
      </c>
      <c r="C486" s="11" t="s">
        <v>27</v>
      </c>
      <c r="D486" s="27" t="n">
        <f aca="false">IF('TEa input'!G36="","",'TEa input'!G36)</f>
        <v>15</v>
      </c>
      <c r="E486" s="28" t="n">
        <f aca="false">IF(D486="","",MIN(Sigma!AB68:AB69))</f>
        <v>8.07822757111597</v>
      </c>
    </row>
    <row r="487" customFormat="false" ht="15" hidden="false" customHeight="true" outlineLevel="0" collapsed="false">
      <c r="A487" s="9" t="s">
        <v>201</v>
      </c>
      <c r="B487" s="11" t="s">
        <v>122</v>
      </c>
      <c r="C487" s="11" t="s">
        <v>28</v>
      </c>
      <c r="D487" s="27" t="n">
        <f aca="false">IF('TEa input'!I36="","",'TEa input'!I36)</f>
        <v>9</v>
      </c>
      <c r="E487" s="28" t="n">
        <f aca="false">IF(D487="","",MIN(Sigma!AC68:AC69))</f>
        <v>4.79595185995624</v>
      </c>
    </row>
    <row r="488" customFormat="false" ht="15" hidden="false" customHeight="true" outlineLevel="0" collapsed="false">
      <c r="A488" s="9" t="s">
        <v>201</v>
      </c>
      <c r="B488" s="11" t="s">
        <v>122</v>
      </c>
      <c r="C488" s="11" t="s">
        <v>29</v>
      </c>
      <c r="D488" s="27" t="str">
        <f aca="false">IF('TEa input'!K36="","",'TEa input'!K36)</f>
        <v/>
      </c>
      <c r="E488" s="28" t="str">
        <f aca="false">IF(D488="","",MIN(Sigma!AD68:AD69))</f>
        <v/>
      </c>
    </row>
    <row r="489" customFormat="false" ht="15" hidden="false" customHeight="true" outlineLevel="0" collapsed="false">
      <c r="A489" s="9" t="s">
        <v>201</v>
      </c>
      <c r="B489" s="11" t="s">
        <v>122</v>
      </c>
      <c r="C489" s="11" t="s">
        <v>30</v>
      </c>
      <c r="D489" s="27" t="n">
        <f aca="false">IF('TEa input'!M36="","",'TEa input'!M36)</f>
        <v>12</v>
      </c>
      <c r="E489" s="28" t="n">
        <f aca="false">IF(D489="","",MIN(Sigma!AE68:AE69))</f>
        <v>6.4370897155361</v>
      </c>
    </row>
    <row r="490" customFormat="false" ht="15" hidden="false" customHeight="true" outlineLevel="0" collapsed="false">
      <c r="A490" s="9" t="s">
        <v>201</v>
      </c>
      <c r="B490" s="11" t="s">
        <v>122</v>
      </c>
      <c r="C490" s="11" t="s">
        <v>31</v>
      </c>
      <c r="D490" s="27" t="n">
        <f aca="false">IF('TEa input'!O36="","",'TEa input'!O36)</f>
        <v>14</v>
      </c>
      <c r="E490" s="28" t="n">
        <f aca="false">IF(D490="","",MIN(Sigma!AF68:AF69))</f>
        <v>7.53118161925602</v>
      </c>
    </row>
    <row r="491" customFormat="false" ht="15" hidden="false" customHeight="true" outlineLevel="0" collapsed="false">
      <c r="A491" s="9" t="s">
        <v>201</v>
      </c>
      <c r="B491" s="11" t="s">
        <v>122</v>
      </c>
      <c r="C491" s="11" t="s">
        <v>32</v>
      </c>
      <c r="D491" s="27" t="n">
        <f aca="false">IF('TEa input'!Q36="","",'TEa input'!Q36)</f>
        <v>15</v>
      </c>
      <c r="E491" s="28" t="n">
        <f aca="false">IF(D491="","",MIN(Sigma!AG68:AG69))</f>
        <v>8.07822757111597</v>
      </c>
    </row>
    <row r="492" customFormat="false" ht="15" hidden="false" customHeight="true" outlineLevel="0" collapsed="false">
      <c r="A492" s="9" t="s">
        <v>201</v>
      </c>
      <c r="B492" s="11" t="s">
        <v>122</v>
      </c>
      <c r="C492" s="11" t="s">
        <v>33</v>
      </c>
      <c r="D492" s="27" t="n">
        <f aca="false">IF('TEa input'!R36="","",'TEa input'!R36)</f>
        <v>20</v>
      </c>
      <c r="E492" s="28" t="n">
        <f aca="false">IF(D492="","",MIN(Sigma!AH68:AH69))</f>
        <v>10.8134573304158</v>
      </c>
    </row>
    <row r="493" customFormat="false" ht="15" hidden="false" customHeight="true" outlineLevel="0" collapsed="false">
      <c r="A493" s="9" t="s">
        <v>201</v>
      </c>
      <c r="B493" s="11" t="s">
        <v>122</v>
      </c>
      <c r="C493" s="11" t="s">
        <v>34</v>
      </c>
      <c r="D493" s="27" t="n">
        <f aca="false">IF('TEa input'!T36="","",'TEa input'!T36)</f>
        <v>15</v>
      </c>
      <c r="E493" s="28" t="n">
        <f aca="false">IF(D493="","",MIN(Sigma!AI68:AI69))</f>
        <v>8.07822757111597</v>
      </c>
    </row>
    <row r="494" customFormat="false" ht="15" hidden="false" customHeight="true" outlineLevel="0" collapsed="false">
      <c r="A494" s="9" t="s">
        <v>201</v>
      </c>
      <c r="B494" s="11" t="s">
        <v>122</v>
      </c>
      <c r="C494" s="11" t="s">
        <v>320</v>
      </c>
      <c r="D494" s="27" t="str">
        <f aca="false">IF('TEa input'!Y36="","",'TEa input'!Y36)</f>
        <v/>
      </c>
      <c r="E494" s="28" t="str">
        <f aca="false">IF(D494="","",MIN(Sigma!AJ68:AJ69))</f>
        <v/>
      </c>
    </row>
    <row r="495" customFormat="false" ht="15" hidden="false" customHeight="true" outlineLevel="0" collapsed="false">
      <c r="A495" s="9" t="s">
        <v>201</v>
      </c>
      <c r="B495" s="11" t="s">
        <v>122</v>
      </c>
      <c r="C495" s="11" t="s">
        <v>321</v>
      </c>
      <c r="D495" s="27" t="str">
        <f aca="false">IF('TEa input'!Z36="","",'TEa input'!Z36)</f>
        <v/>
      </c>
      <c r="E495" s="28" t="str">
        <f aca="false">IF(D495="","",MIN(Sigma!AK68:AK69))</f>
        <v/>
      </c>
    </row>
    <row r="496" customFormat="false" ht="15" hidden="false" customHeight="true" outlineLevel="0" collapsed="false">
      <c r="A496" s="9" t="s">
        <v>201</v>
      </c>
      <c r="B496" s="11" t="s">
        <v>122</v>
      </c>
      <c r="C496" s="11" t="s">
        <v>322</v>
      </c>
      <c r="D496" s="27" t="str">
        <f aca="false">IF('TEa input'!AA36="","",'TEa input'!AA36)</f>
        <v/>
      </c>
      <c r="E496" s="28" t="str">
        <f aca="false">IF(D496="","",MIN(Sigma!AL68:AL69))</f>
        <v/>
      </c>
    </row>
    <row r="497" customFormat="false" ht="15" hidden="false" customHeight="true" outlineLevel="0" collapsed="false">
      <c r="A497" s="9" t="s">
        <v>201</v>
      </c>
      <c r="B497" s="11" t="s">
        <v>122</v>
      </c>
      <c r="C497" s="11" t="s">
        <v>323</v>
      </c>
      <c r="D497" s="27" t="str">
        <f aca="false">IF('TEa input'!AB36="","",'TEa input'!AB36)</f>
        <v/>
      </c>
      <c r="E497" s="28" t="str">
        <f aca="false">IF(D497="","",MIN(Sigma!AM68:AM69))</f>
        <v/>
      </c>
    </row>
    <row r="498" customFormat="false" ht="15" hidden="false" customHeight="true" outlineLevel="0" collapsed="false">
      <c r="A498" s="9" t="s">
        <v>201</v>
      </c>
      <c r="B498" s="11" t="s">
        <v>122</v>
      </c>
      <c r="C498" s="11" t="s">
        <v>324</v>
      </c>
      <c r="D498" s="27" t="n">
        <f aca="false">IF('TEa input'!AC36="","",'TEa input'!AC36)</f>
        <v>25.99</v>
      </c>
      <c r="E498" s="28" t="n">
        <f aca="false">IF(D498="","",MIN(Sigma!AN68:AN69))</f>
        <v>14.0902625820569</v>
      </c>
    </row>
    <row r="499" customFormat="false" ht="15" hidden="false" customHeight="true" outlineLevel="0" collapsed="false">
      <c r="A499" s="9" t="s">
        <v>201</v>
      </c>
      <c r="B499" s="11" t="s">
        <v>122</v>
      </c>
      <c r="C499" s="11" t="s">
        <v>325</v>
      </c>
      <c r="D499" s="27" t="str">
        <f aca="false">IF('TEa input'!AD36="","",'TEa input'!AD36)</f>
        <v/>
      </c>
      <c r="E499" s="28" t="str">
        <f aca="false">IF(D499="","",MIN(Sigma!AO68:AO69))</f>
        <v/>
      </c>
    </row>
    <row r="500" customFormat="false" ht="15" hidden="false" customHeight="true" outlineLevel="0" collapsed="false">
      <c r="A500" s="9" t="s">
        <v>201</v>
      </c>
      <c r="B500" s="11" t="s">
        <v>122</v>
      </c>
      <c r="C500" s="29" t="str">
        <f aca="false">IF('TEa input'!AE36="","Other",'TEa input'!AE36)</f>
        <v>Other</v>
      </c>
      <c r="D500" s="27" t="str">
        <f aca="false">IF('TEa input'!AF36="","",'TEa input'!AF36)</f>
        <v/>
      </c>
      <c r="E500" s="28" t="str">
        <f aca="false">IF(D500="","",MIN(Sigma!AP68:AP69))</f>
        <v/>
      </c>
    </row>
    <row r="501" customFormat="false" ht="15" hidden="false" customHeight="true" outlineLevel="0" collapsed="false">
      <c r="A501" s="9" t="s">
        <v>204</v>
      </c>
      <c r="B501" s="11" t="s">
        <v>122</v>
      </c>
      <c r="C501" s="11" t="s">
        <v>26</v>
      </c>
      <c r="D501" s="27" t="n">
        <f aca="false">IF('TEa input'!E37="","",'TEa input'!E37)</f>
        <v>12</v>
      </c>
      <c r="E501" s="28" t="n">
        <f aca="false">IF(D501="","",MIN(Sigma!AA70:AA71))</f>
        <v>5.40018231540565</v>
      </c>
    </row>
    <row r="502" customFormat="false" ht="15" hidden="false" customHeight="true" outlineLevel="0" collapsed="false">
      <c r="A502" s="9" t="s">
        <v>204</v>
      </c>
      <c r="B502" s="11" t="s">
        <v>122</v>
      </c>
      <c r="C502" s="11" t="s">
        <v>27</v>
      </c>
      <c r="D502" s="27" t="n">
        <f aca="false">IF('TEa input'!G37="","",'TEa input'!G37)</f>
        <v>15</v>
      </c>
      <c r="E502" s="28" t="n">
        <f aca="false">IF(D502="","",MIN(Sigma!AB70:AB71))</f>
        <v>6.76754785779398</v>
      </c>
    </row>
    <row r="503" customFormat="false" ht="15" hidden="false" customHeight="true" outlineLevel="0" collapsed="false">
      <c r="A503" s="9" t="s">
        <v>204</v>
      </c>
      <c r="B503" s="11" t="s">
        <v>122</v>
      </c>
      <c r="C503" s="11" t="s">
        <v>28</v>
      </c>
      <c r="D503" s="27" t="str">
        <f aca="false">IF('TEa input'!I37="","",'TEa input'!I37)</f>
        <v/>
      </c>
      <c r="E503" s="28" t="str">
        <f aca="false">IF(D503="","",MIN(Sigma!AC70:AC71))</f>
        <v/>
      </c>
    </row>
    <row r="504" customFormat="false" ht="15" hidden="false" customHeight="true" outlineLevel="0" collapsed="false">
      <c r="A504" s="9" t="s">
        <v>204</v>
      </c>
      <c r="B504" s="11" t="s">
        <v>122</v>
      </c>
      <c r="C504" s="11" t="s">
        <v>29</v>
      </c>
      <c r="D504" s="27" t="str">
        <f aca="false">IF('TEa input'!K37="","",'TEa input'!K37)</f>
        <v/>
      </c>
      <c r="E504" s="28" t="str">
        <f aca="false">IF(D504="","",MIN(Sigma!AD70:AD71))</f>
        <v/>
      </c>
    </row>
    <row r="505" customFormat="false" ht="15" hidden="false" customHeight="true" outlineLevel="0" collapsed="false">
      <c r="A505" s="9" t="s">
        <v>204</v>
      </c>
      <c r="B505" s="11" t="s">
        <v>122</v>
      </c>
      <c r="C505" s="11" t="s">
        <v>30</v>
      </c>
      <c r="D505" s="27" t="n">
        <f aca="false">IF('TEa input'!M37="","",'TEa input'!M37)</f>
        <v>12</v>
      </c>
      <c r="E505" s="28" t="n">
        <f aca="false">IF(D505="","",MIN(Sigma!AE70:AE71))</f>
        <v>5.40018231540565</v>
      </c>
    </row>
    <row r="506" customFormat="false" ht="15" hidden="false" customHeight="true" outlineLevel="0" collapsed="false">
      <c r="A506" s="9" t="s">
        <v>204</v>
      </c>
      <c r="B506" s="11" t="s">
        <v>122</v>
      </c>
      <c r="C506" s="11" t="s">
        <v>31</v>
      </c>
      <c r="D506" s="27" t="n">
        <f aca="false">IF('TEa input'!O37="","",'TEa input'!O37)</f>
        <v>15</v>
      </c>
      <c r="E506" s="28" t="n">
        <f aca="false">IF(D506="","",MIN(Sigma!AF70:AF71))</f>
        <v>6.76754785779398</v>
      </c>
    </row>
    <row r="507" customFormat="false" ht="15" hidden="false" customHeight="true" outlineLevel="0" collapsed="false">
      <c r="A507" s="9" t="s">
        <v>204</v>
      </c>
      <c r="B507" s="11" t="s">
        <v>122</v>
      </c>
      <c r="C507" s="11" t="s">
        <v>32</v>
      </c>
      <c r="D507" s="27" t="n">
        <f aca="false">IF('TEa input'!Q37="","",'TEa input'!Q37)</f>
        <v>15</v>
      </c>
      <c r="E507" s="28" t="n">
        <f aca="false">IF(D507="","",MIN(Sigma!AG70:AG71))</f>
        <v>6.76754785779398</v>
      </c>
    </row>
    <row r="508" customFormat="false" ht="15" hidden="false" customHeight="true" outlineLevel="0" collapsed="false">
      <c r="A508" s="9" t="s">
        <v>204</v>
      </c>
      <c r="B508" s="11" t="s">
        <v>122</v>
      </c>
      <c r="C508" s="11" t="s">
        <v>33</v>
      </c>
      <c r="D508" s="27" t="n">
        <f aca="false">IF('TEa input'!R37="","",'TEa input'!R37)</f>
        <v>8.3</v>
      </c>
      <c r="E508" s="28" t="n">
        <f aca="false">IF(D508="","",MIN(Sigma!AH70:AH71))</f>
        <v>3.71376481312671</v>
      </c>
    </row>
    <row r="509" customFormat="false" ht="15" hidden="false" customHeight="true" outlineLevel="0" collapsed="false">
      <c r="A509" s="9" t="s">
        <v>204</v>
      </c>
      <c r="B509" s="11" t="s">
        <v>122</v>
      </c>
      <c r="C509" s="11" t="s">
        <v>34</v>
      </c>
      <c r="D509" s="27" t="str">
        <f aca="false">IF('TEa input'!T37="","",'TEa input'!T37)</f>
        <v/>
      </c>
      <c r="E509" s="28" t="str">
        <f aca="false">IF(D509="","",MIN(Sigma!AI70:AI71))</f>
        <v/>
      </c>
    </row>
    <row r="510" customFormat="false" ht="15" hidden="false" customHeight="true" outlineLevel="0" collapsed="false">
      <c r="A510" s="9" t="s">
        <v>204</v>
      </c>
      <c r="B510" s="11" t="s">
        <v>122</v>
      </c>
      <c r="C510" s="11" t="s">
        <v>320</v>
      </c>
      <c r="D510" s="27" t="str">
        <f aca="false">IF('TEa input'!Y37="","",'TEa input'!Y37)</f>
        <v/>
      </c>
      <c r="E510" s="28" t="str">
        <f aca="false">IF(D510="","",MIN(Sigma!AJ70:AJ71))</f>
        <v/>
      </c>
    </row>
    <row r="511" customFormat="false" ht="15" hidden="false" customHeight="true" outlineLevel="0" collapsed="false">
      <c r="A511" s="9" t="s">
        <v>204</v>
      </c>
      <c r="B511" s="11" t="s">
        <v>122</v>
      </c>
      <c r="C511" s="11" t="s">
        <v>321</v>
      </c>
      <c r="D511" s="27" t="str">
        <f aca="false">IF('TEa input'!Z37="","",'TEa input'!Z37)</f>
        <v/>
      </c>
      <c r="E511" s="28" t="str">
        <f aca="false">IF(D511="","",MIN(Sigma!AK70:AK71))</f>
        <v/>
      </c>
    </row>
    <row r="512" customFormat="false" ht="15" hidden="false" customHeight="true" outlineLevel="0" collapsed="false">
      <c r="A512" s="9" t="s">
        <v>204</v>
      </c>
      <c r="B512" s="11" t="s">
        <v>122</v>
      </c>
      <c r="C512" s="11" t="s">
        <v>322</v>
      </c>
      <c r="D512" s="27" t="str">
        <f aca="false">IF('TEa input'!AA37="","",'TEa input'!AA37)</f>
        <v/>
      </c>
      <c r="E512" s="28" t="str">
        <f aca="false">IF(D512="","",MIN(Sigma!AL70:AL71))</f>
        <v/>
      </c>
    </row>
    <row r="513" customFormat="false" ht="15" hidden="false" customHeight="true" outlineLevel="0" collapsed="false">
      <c r="A513" s="9" t="s">
        <v>204</v>
      </c>
      <c r="B513" s="11" t="s">
        <v>122</v>
      </c>
      <c r="C513" s="11" t="s">
        <v>323</v>
      </c>
      <c r="D513" s="27" t="str">
        <f aca="false">IF('TEa input'!AB37="","",'TEa input'!AB37)</f>
        <v/>
      </c>
      <c r="E513" s="28" t="str">
        <f aca="false">IF(D513="","",MIN(Sigma!AM70:AM71))</f>
        <v/>
      </c>
    </row>
    <row r="514" customFormat="false" ht="15" hidden="false" customHeight="true" outlineLevel="0" collapsed="false">
      <c r="A514" s="9" t="s">
        <v>204</v>
      </c>
      <c r="B514" s="11" t="s">
        <v>122</v>
      </c>
      <c r="C514" s="11" t="s">
        <v>324</v>
      </c>
      <c r="D514" s="27" t="n">
        <f aca="false">IF('TEa input'!AC37="","",'TEa input'!AC37)</f>
        <v>30.7</v>
      </c>
      <c r="E514" s="28" t="n">
        <f aca="false">IF(D514="","",MIN(Sigma!AN70:AN71))</f>
        <v>13.9234275296263</v>
      </c>
    </row>
    <row r="515" customFormat="false" ht="15" hidden="false" customHeight="true" outlineLevel="0" collapsed="false">
      <c r="A515" s="9" t="s">
        <v>204</v>
      </c>
      <c r="B515" s="11" t="s">
        <v>122</v>
      </c>
      <c r="C515" s="11" t="s">
        <v>325</v>
      </c>
      <c r="D515" s="27" t="str">
        <f aca="false">IF('TEa input'!AD37="","",'TEa input'!AD37)</f>
        <v/>
      </c>
      <c r="E515" s="28" t="str">
        <f aca="false">IF(D515="","",MIN(Sigma!AO70:AO71))</f>
        <v/>
      </c>
    </row>
    <row r="516" customFormat="false" ht="15" hidden="false" customHeight="true" outlineLevel="0" collapsed="false">
      <c r="A516" s="9" t="s">
        <v>204</v>
      </c>
      <c r="B516" s="11" t="s">
        <v>122</v>
      </c>
      <c r="C516" s="29" t="str">
        <f aca="false">IF('TEa input'!AE37="","Other",'TEa input'!AE37)</f>
        <v>Other</v>
      </c>
      <c r="D516" s="27" t="str">
        <f aca="false">IF('TEa input'!AF37="","",'TEa input'!AF37)</f>
        <v/>
      </c>
      <c r="E516" s="28" t="str">
        <f aca="false">IF(D516="","",MIN(Sigma!AP70:AP71))</f>
        <v/>
      </c>
    </row>
    <row r="517" customFormat="false" ht="15" hidden="false" customHeight="true" outlineLevel="0" collapsed="false">
      <c r="A517" s="9" t="s">
        <v>207</v>
      </c>
      <c r="B517" s="11" t="s">
        <v>122</v>
      </c>
      <c r="C517" s="11" t="s">
        <v>26</v>
      </c>
      <c r="D517" s="27" t="n">
        <f aca="false">IF('TEa input'!E38="","",'TEa input'!E38)</f>
        <v>8</v>
      </c>
      <c r="E517" s="28" t="n">
        <f aca="false">IF(D517="","",MIN(Sigma!AA72:AA73))</f>
        <v>2.46376811594203</v>
      </c>
    </row>
    <row r="518" customFormat="false" ht="15" hidden="false" customHeight="true" outlineLevel="0" collapsed="false">
      <c r="A518" s="9" t="s">
        <v>207</v>
      </c>
      <c r="B518" s="11" t="s">
        <v>122</v>
      </c>
      <c r="C518" s="11" t="s">
        <v>27</v>
      </c>
      <c r="D518" s="27" t="str">
        <f aca="false">IF('TEa input'!G38="","",'TEa input'!G38)</f>
        <v/>
      </c>
      <c r="E518" s="28" t="str">
        <f aca="false">IF(D518="","",MIN(Sigma!AB72:AB73))</f>
        <v/>
      </c>
    </row>
    <row r="519" customFormat="false" ht="15" hidden="false" customHeight="true" outlineLevel="0" collapsed="false">
      <c r="A519" s="9" t="s">
        <v>207</v>
      </c>
      <c r="B519" s="11" t="s">
        <v>122</v>
      </c>
      <c r="C519" s="11" t="s">
        <v>28</v>
      </c>
      <c r="D519" s="27" t="n">
        <f aca="false">IF('TEa input'!I38="","",'TEa input'!I38)</f>
        <v>8</v>
      </c>
      <c r="E519" s="28" t="n">
        <f aca="false">IF(D519="","",MIN(Sigma!AC72:AC73))</f>
        <v>2.46376811594203</v>
      </c>
    </row>
    <row r="520" customFormat="false" ht="15" hidden="false" customHeight="true" outlineLevel="0" collapsed="false">
      <c r="A520" s="9" t="s">
        <v>207</v>
      </c>
      <c r="B520" s="11" t="s">
        <v>122</v>
      </c>
      <c r="C520" s="11" t="s">
        <v>29</v>
      </c>
      <c r="D520" s="27" t="str">
        <f aca="false">IF('TEa input'!K38="","",'TEa input'!K38)</f>
        <v/>
      </c>
      <c r="E520" s="28" t="str">
        <f aca="false">IF(D520="","",MIN(Sigma!AD72:AD73))</f>
        <v/>
      </c>
    </row>
    <row r="521" customFormat="false" ht="15" hidden="false" customHeight="true" outlineLevel="0" collapsed="false">
      <c r="A521" s="9" t="s">
        <v>207</v>
      </c>
      <c r="B521" s="11" t="s">
        <v>122</v>
      </c>
      <c r="C521" s="11" t="s">
        <v>30</v>
      </c>
      <c r="D521" s="27" t="n">
        <f aca="false">IF('TEa input'!M38="","",'TEa input'!M38)</f>
        <v>8</v>
      </c>
      <c r="E521" s="28" t="n">
        <f aca="false">IF(D521="","",MIN(Sigma!AE72:AE73))</f>
        <v>2.46376811594203</v>
      </c>
    </row>
    <row r="522" customFormat="false" ht="15" hidden="false" customHeight="true" outlineLevel="0" collapsed="false">
      <c r="A522" s="9" t="s">
        <v>207</v>
      </c>
      <c r="B522" s="11" t="s">
        <v>122</v>
      </c>
      <c r="C522" s="11" t="s">
        <v>31</v>
      </c>
      <c r="D522" s="27" t="str">
        <f aca="false">IF('TEa input'!O38="","",'TEa input'!O38)</f>
        <v/>
      </c>
      <c r="E522" s="28" t="str">
        <f aca="false">IF(D522="","",MIN(Sigma!AF72:AF73))</f>
        <v/>
      </c>
    </row>
    <row r="523" customFormat="false" ht="15" hidden="false" customHeight="true" outlineLevel="0" collapsed="false">
      <c r="A523" s="9" t="s">
        <v>207</v>
      </c>
      <c r="B523" s="11" t="s">
        <v>122</v>
      </c>
      <c r="C523" s="11" t="s">
        <v>32</v>
      </c>
      <c r="D523" s="27" t="str">
        <f aca="false">IF('TEa input'!Q38="","",'TEa input'!Q38)</f>
        <v/>
      </c>
      <c r="E523" s="28" t="str">
        <f aca="false">IF(D523="","",MIN(Sigma!AG72:AG73))</f>
        <v/>
      </c>
    </row>
    <row r="524" customFormat="false" ht="15" hidden="false" customHeight="true" outlineLevel="0" collapsed="false">
      <c r="A524" s="9" t="s">
        <v>207</v>
      </c>
      <c r="B524" s="11" t="s">
        <v>122</v>
      </c>
      <c r="C524" s="11" t="s">
        <v>33</v>
      </c>
      <c r="D524" s="27" t="str">
        <f aca="false">IF('TEa input'!R38="","",'TEa input'!R38)</f>
        <v/>
      </c>
      <c r="E524" s="28" t="str">
        <f aca="false">IF(D524="","",MIN(Sigma!AH72:AH73))</f>
        <v/>
      </c>
    </row>
    <row r="525" customFormat="false" ht="15" hidden="false" customHeight="true" outlineLevel="0" collapsed="false">
      <c r="A525" s="9" t="s">
        <v>207</v>
      </c>
      <c r="B525" s="11" t="s">
        <v>122</v>
      </c>
      <c r="C525" s="11" t="s">
        <v>34</v>
      </c>
      <c r="D525" s="27" t="str">
        <f aca="false">IF('TEa input'!T38="","",'TEa input'!T38)</f>
        <v/>
      </c>
      <c r="E525" s="28" t="str">
        <f aca="false">IF(D525="","",MIN(Sigma!AI72:AI73))</f>
        <v/>
      </c>
    </row>
    <row r="526" customFormat="false" ht="15" hidden="false" customHeight="true" outlineLevel="0" collapsed="false">
      <c r="A526" s="9" t="s">
        <v>207</v>
      </c>
      <c r="B526" s="11" t="s">
        <v>122</v>
      </c>
      <c r="C526" s="11" t="s">
        <v>320</v>
      </c>
      <c r="D526" s="27" t="str">
        <f aca="false">IF('TEa input'!Y38="","",'TEa input'!Y38)</f>
        <v/>
      </c>
      <c r="E526" s="28" t="str">
        <f aca="false">IF(D526="","",MIN(Sigma!AJ72:AJ73))</f>
        <v/>
      </c>
    </row>
    <row r="527" customFormat="false" ht="15" hidden="false" customHeight="true" outlineLevel="0" collapsed="false">
      <c r="A527" s="9" t="s">
        <v>207</v>
      </c>
      <c r="B527" s="11" t="s">
        <v>122</v>
      </c>
      <c r="C527" s="11" t="s">
        <v>321</v>
      </c>
      <c r="D527" s="27" t="str">
        <f aca="false">IF('TEa input'!Z38="","",'TEa input'!Z38)</f>
        <v/>
      </c>
      <c r="E527" s="28" t="str">
        <f aca="false">IF(D527="","",MIN(Sigma!AK72:AK73))</f>
        <v/>
      </c>
    </row>
    <row r="528" customFormat="false" ht="15" hidden="false" customHeight="true" outlineLevel="0" collapsed="false">
      <c r="A528" s="9" t="s">
        <v>207</v>
      </c>
      <c r="B528" s="11" t="s">
        <v>122</v>
      </c>
      <c r="C528" s="11" t="s">
        <v>322</v>
      </c>
      <c r="D528" s="27" t="str">
        <f aca="false">IF('TEa input'!AA38="","",'TEa input'!AA38)</f>
        <v/>
      </c>
      <c r="E528" s="28" t="str">
        <f aca="false">IF(D528="","",MIN(Sigma!AL72:AL73))</f>
        <v/>
      </c>
    </row>
    <row r="529" customFormat="false" ht="15" hidden="false" customHeight="true" outlineLevel="0" collapsed="false">
      <c r="A529" s="9" t="s">
        <v>207</v>
      </c>
      <c r="B529" s="11" t="s">
        <v>122</v>
      </c>
      <c r="C529" s="11" t="s">
        <v>323</v>
      </c>
      <c r="D529" s="27" t="str">
        <f aca="false">IF('TEa input'!AB38="","",'TEa input'!AB38)</f>
        <v/>
      </c>
      <c r="E529" s="28" t="str">
        <f aca="false">IF(D529="","",MIN(Sigma!AM72:AM73))</f>
        <v/>
      </c>
    </row>
    <row r="530" customFormat="false" ht="15" hidden="false" customHeight="true" outlineLevel="0" collapsed="false">
      <c r="A530" s="9" t="s">
        <v>207</v>
      </c>
      <c r="B530" s="11" t="s">
        <v>122</v>
      </c>
      <c r="C530" s="11" t="s">
        <v>324</v>
      </c>
      <c r="D530" s="27" t="str">
        <f aca="false">IF('TEa input'!AC38="","",'TEa input'!AC38)</f>
        <v/>
      </c>
      <c r="E530" s="28" t="str">
        <f aca="false">IF(D530="","",MIN(Sigma!AN72:AN73))</f>
        <v/>
      </c>
    </row>
    <row r="531" customFormat="false" ht="15" hidden="false" customHeight="true" outlineLevel="0" collapsed="false">
      <c r="A531" s="9" t="s">
        <v>207</v>
      </c>
      <c r="B531" s="11" t="s">
        <v>122</v>
      </c>
      <c r="C531" s="11" t="s">
        <v>325</v>
      </c>
      <c r="D531" s="27" t="str">
        <f aca="false">IF('TEa input'!AD38="","",'TEa input'!AD38)</f>
        <v/>
      </c>
      <c r="E531" s="28" t="str">
        <f aca="false">IF(D531="","",MIN(Sigma!AO72:AO73))</f>
        <v/>
      </c>
    </row>
    <row r="532" customFormat="false" ht="15" hidden="false" customHeight="true" outlineLevel="0" collapsed="false">
      <c r="A532" s="9" t="s">
        <v>207</v>
      </c>
      <c r="B532" s="11" t="s">
        <v>122</v>
      </c>
      <c r="C532" s="29" t="str">
        <f aca="false">IF('TEa input'!AE38="","Other",'TEa input'!AE38)</f>
        <v>Other</v>
      </c>
      <c r="D532" s="27" t="str">
        <f aca="false">IF('TEa input'!AF38="","",'TEa input'!AF38)</f>
        <v/>
      </c>
      <c r="E532" s="28" t="str">
        <f aca="false">IF(D532="","",MIN(Sigma!AP72:AP73))</f>
        <v/>
      </c>
    </row>
    <row r="533" customFormat="false" ht="15" hidden="false" customHeight="true" outlineLevel="0" collapsed="false">
      <c r="A533" s="9" t="s">
        <v>211</v>
      </c>
      <c r="B533" s="11" t="s">
        <v>122</v>
      </c>
      <c r="C533" s="11" t="s">
        <v>26</v>
      </c>
      <c r="D533" s="27" t="n">
        <f aca="false">IF('TEa input'!E39="","",'TEa input'!E39)</f>
        <v>15</v>
      </c>
      <c r="E533" s="28" t="n">
        <f aca="false">IF(D533="","",MIN(Sigma!AA74:AA75))</f>
        <v>5.98833693304536</v>
      </c>
    </row>
    <row r="534" customFormat="false" ht="15" hidden="false" customHeight="true" outlineLevel="0" collapsed="false">
      <c r="A534" s="9" t="s">
        <v>211</v>
      </c>
      <c r="B534" s="11" t="s">
        <v>122</v>
      </c>
      <c r="C534" s="11" t="s">
        <v>27</v>
      </c>
      <c r="D534" s="27" t="n">
        <f aca="false">IF('TEa input'!G39="","",'TEa input'!G39)</f>
        <v>20</v>
      </c>
      <c r="E534" s="28" t="n">
        <f aca="false">IF(D534="","",MIN(Sigma!AB74:AB75))</f>
        <v>8.14816414686825</v>
      </c>
    </row>
    <row r="535" customFormat="false" ht="15" hidden="false" customHeight="true" outlineLevel="0" collapsed="false">
      <c r="A535" s="9" t="s">
        <v>211</v>
      </c>
      <c r="B535" s="11" t="s">
        <v>122</v>
      </c>
      <c r="C535" s="11" t="s">
        <v>28</v>
      </c>
      <c r="D535" s="27" t="n">
        <f aca="false">IF('TEa input'!I39="","",'TEa input'!I39)</f>
        <v>12</v>
      </c>
      <c r="E535" s="28" t="n">
        <f aca="false">IF(D535="","",MIN(Sigma!AC74:AC75))</f>
        <v>4.69244060475162</v>
      </c>
    </row>
    <row r="536" customFormat="false" ht="15" hidden="false" customHeight="true" outlineLevel="0" collapsed="false">
      <c r="A536" s="9" t="s">
        <v>211</v>
      </c>
      <c r="B536" s="11" t="s">
        <v>122</v>
      </c>
      <c r="C536" s="11" t="s">
        <v>29</v>
      </c>
      <c r="D536" s="27" t="str">
        <f aca="false">IF('TEa input'!K39="","",'TEa input'!K39)</f>
        <v/>
      </c>
      <c r="E536" s="28" t="str">
        <f aca="false">IF(D536="","",MIN(Sigma!AD74:AD75))</f>
        <v/>
      </c>
    </row>
    <row r="537" customFormat="false" ht="15" hidden="false" customHeight="true" outlineLevel="0" collapsed="false">
      <c r="A537" s="9" t="s">
        <v>211</v>
      </c>
      <c r="B537" s="11" t="s">
        <v>122</v>
      </c>
      <c r="C537" s="11" t="s">
        <v>30</v>
      </c>
      <c r="D537" s="27" t="str">
        <f aca="false">IF('TEa input'!M39="","",'TEa input'!M39)</f>
        <v/>
      </c>
      <c r="E537" s="28" t="str">
        <f aca="false">IF(D537="","",MIN(Sigma!AE74:AE75))</f>
        <v/>
      </c>
    </row>
    <row r="538" customFormat="false" ht="15" hidden="false" customHeight="true" outlineLevel="0" collapsed="false">
      <c r="A538" s="9" t="s">
        <v>211</v>
      </c>
      <c r="B538" s="11" t="s">
        <v>122</v>
      </c>
      <c r="C538" s="11" t="s">
        <v>31</v>
      </c>
      <c r="D538" s="27" t="n">
        <f aca="false">IF('TEa input'!O39="","",'TEa input'!O39)</f>
        <v>20</v>
      </c>
      <c r="E538" s="28" t="n">
        <f aca="false">IF(D538="","",MIN(Sigma!AF74:AF75))</f>
        <v>8.14816414686825</v>
      </c>
    </row>
    <row r="539" customFormat="false" ht="15" hidden="false" customHeight="true" outlineLevel="0" collapsed="false">
      <c r="A539" s="9" t="s">
        <v>211</v>
      </c>
      <c r="B539" s="11" t="s">
        <v>122</v>
      </c>
      <c r="C539" s="11" t="s">
        <v>32</v>
      </c>
      <c r="D539" s="27" t="n">
        <f aca="false">IF('TEa input'!Q39="","",'TEa input'!Q39)</f>
        <v>20</v>
      </c>
      <c r="E539" s="28" t="n">
        <f aca="false">IF(D539="","",MIN(Sigma!AG74:AG75))</f>
        <v>8.14816414686825</v>
      </c>
    </row>
    <row r="540" customFormat="false" ht="15" hidden="false" customHeight="true" outlineLevel="0" collapsed="false">
      <c r="A540" s="9" t="s">
        <v>211</v>
      </c>
      <c r="B540" s="11" t="s">
        <v>122</v>
      </c>
      <c r="C540" s="11" t="s">
        <v>33</v>
      </c>
      <c r="D540" s="27" t="n">
        <f aca="false">IF('TEa input'!R39="","",'TEa input'!R39)</f>
        <v>10.6</v>
      </c>
      <c r="E540" s="28" t="n">
        <f aca="false">IF(D540="","",MIN(Sigma!AH74:AH75))</f>
        <v>4.08768898488121</v>
      </c>
    </row>
    <row r="541" customFormat="false" ht="15" hidden="false" customHeight="true" outlineLevel="0" collapsed="false">
      <c r="A541" s="9" t="s">
        <v>211</v>
      </c>
      <c r="B541" s="11" t="s">
        <v>122</v>
      </c>
      <c r="C541" s="11" t="s">
        <v>34</v>
      </c>
      <c r="D541" s="27" t="str">
        <f aca="false">IF('TEa input'!T39="","",'TEa input'!T39)</f>
        <v/>
      </c>
      <c r="E541" s="28" t="str">
        <f aca="false">IF(D541="","",MIN(Sigma!AI74:AI75))</f>
        <v/>
      </c>
    </row>
    <row r="542" customFormat="false" ht="15" hidden="false" customHeight="true" outlineLevel="0" collapsed="false">
      <c r="A542" s="9" t="s">
        <v>211</v>
      </c>
      <c r="B542" s="11" t="s">
        <v>122</v>
      </c>
      <c r="C542" s="11" t="s">
        <v>320</v>
      </c>
      <c r="D542" s="27" t="str">
        <f aca="false">IF('TEa input'!Y39="","",'TEa input'!Y39)</f>
        <v/>
      </c>
      <c r="E542" s="28" t="str">
        <f aca="false">IF(D542="","",MIN(Sigma!AJ74:AJ75))</f>
        <v/>
      </c>
    </row>
    <row r="543" customFormat="false" ht="15" hidden="false" customHeight="true" outlineLevel="0" collapsed="false">
      <c r="A543" s="9" t="s">
        <v>211</v>
      </c>
      <c r="B543" s="11" t="s">
        <v>122</v>
      </c>
      <c r="C543" s="11" t="s">
        <v>321</v>
      </c>
      <c r="D543" s="27" t="str">
        <f aca="false">IF('TEa input'!Z39="","",'TEa input'!Z39)</f>
        <v/>
      </c>
      <c r="E543" s="28" t="str">
        <f aca="false">IF(D543="","",MIN(Sigma!AK74:AK75))</f>
        <v/>
      </c>
    </row>
    <row r="544" customFormat="false" ht="15" hidden="false" customHeight="true" outlineLevel="0" collapsed="false">
      <c r="A544" s="9" t="s">
        <v>211</v>
      </c>
      <c r="B544" s="11" t="s">
        <v>122</v>
      </c>
      <c r="C544" s="11" t="s">
        <v>322</v>
      </c>
      <c r="D544" s="27" t="str">
        <f aca="false">IF('TEa input'!AA39="","",'TEa input'!AA39)</f>
        <v/>
      </c>
      <c r="E544" s="28" t="str">
        <f aca="false">IF(D544="","",MIN(Sigma!AL74:AL75))</f>
        <v/>
      </c>
    </row>
    <row r="545" customFormat="false" ht="15" hidden="false" customHeight="true" outlineLevel="0" collapsed="false">
      <c r="A545" s="9" t="s">
        <v>211</v>
      </c>
      <c r="B545" s="11" t="s">
        <v>122</v>
      </c>
      <c r="C545" s="11" t="s">
        <v>323</v>
      </c>
      <c r="D545" s="27" t="str">
        <f aca="false">IF('TEa input'!AB39="","",'TEa input'!AB39)</f>
        <v/>
      </c>
      <c r="E545" s="28" t="str">
        <f aca="false">IF(D545="","",MIN(Sigma!AM74:AM75))</f>
        <v/>
      </c>
    </row>
    <row r="546" customFormat="false" ht="15" hidden="false" customHeight="true" outlineLevel="0" collapsed="false">
      <c r="A546" s="9" t="s">
        <v>211</v>
      </c>
      <c r="B546" s="11" t="s">
        <v>122</v>
      </c>
      <c r="C546" s="11" t="s">
        <v>324</v>
      </c>
      <c r="D546" s="27" t="n">
        <f aca="false">IF('TEa input'!AC39="","",'TEa input'!AC39)</f>
        <v>13.5</v>
      </c>
      <c r="E546" s="28" t="n">
        <f aca="false">IF(D546="","",MIN(Sigma!AN74:AN75))</f>
        <v>5.34038876889849</v>
      </c>
    </row>
    <row r="547" customFormat="false" ht="15" hidden="false" customHeight="true" outlineLevel="0" collapsed="false">
      <c r="A547" s="9" t="s">
        <v>211</v>
      </c>
      <c r="B547" s="11" t="s">
        <v>122</v>
      </c>
      <c r="C547" s="11" t="s">
        <v>325</v>
      </c>
      <c r="D547" s="27" t="str">
        <f aca="false">IF('TEa input'!AD39="","",'TEa input'!AD39)</f>
        <v/>
      </c>
      <c r="E547" s="28" t="str">
        <f aca="false">IF(D547="","",MIN(Sigma!AO74:AO75))</f>
        <v/>
      </c>
    </row>
    <row r="548" customFormat="false" ht="15" hidden="false" customHeight="true" outlineLevel="0" collapsed="false">
      <c r="A548" s="9" t="s">
        <v>211</v>
      </c>
      <c r="B548" s="11" t="s">
        <v>122</v>
      </c>
      <c r="C548" s="29" t="str">
        <f aca="false">IF('TEa input'!AE39="","Other",'TEa input'!AE39)</f>
        <v>Other</v>
      </c>
      <c r="D548" s="27" t="str">
        <f aca="false">IF('TEa input'!AF39="","",'TEa input'!AF39)</f>
        <v/>
      </c>
      <c r="E548" s="28" t="str">
        <f aca="false">IF(D548="","",MIN(Sigma!AP74:AP75))</f>
        <v/>
      </c>
    </row>
    <row r="549" customFormat="false" ht="15" hidden="false" customHeight="true" outlineLevel="0" collapsed="false">
      <c r="A549" s="9" t="s">
        <v>212</v>
      </c>
      <c r="B549" s="11" t="s">
        <v>122</v>
      </c>
      <c r="C549" s="11" t="s">
        <v>26</v>
      </c>
      <c r="D549" s="27" t="n">
        <f aca="false">IF('TEa input'!E40="","",'TEa input'!E40)</f>
        <v>8</v>
      </c>
      <c r="E549" s="28" t="n">
        <f aca="false">IF(D549="","",MIN(Sigma!AA76:AA77))</f>
        <v>5.77836611195159</v>
      </c>
    </row>
    <row r="550" customFormat="false" ht="15" hidden="false" customHeight="true" outlineLevel="0" collapsed="false">
      <c r="A550" s="9" t="s">
        <v>212</v>
      </c>
      <c r="B550" s="11" t="s">
        <v>122</v>
      </c>
      <c r="C550" s="11" t="s">
        <v>27</v>
      </c>
      <c r="D550" s="27" t="n">
        <f aca="false">IF('TEa input'!G40="","",'TEa input'!G40)</f>
        <v>20</v>
      </c>
      <c r="E550" s="28" t="n">
        <f aca="false">IF(D550="","",MIN(Sigma!AB76:AB77))</f>
        <v>14.8555219364599</v>
      </c>
    </row>
    <row r="551" customFormat="false" ht="15" hidden="false" customHeight="true" outlineLevel="0" collapsed="false">
      <c r="A551" s="9" t="s">
        <v>212</v>
      </c>
      <c r="B551" s="11" t="s">
        <v>122</v>
      </c>
      <c r="C551" s="11" t="s">
        <v>28</v>
      </c>
      <c r="D551" s="27" t="n">
        <f aca="false">IF('TEa input'!I40="","",'TEa input'!I40)</f>
        <v>10</v>
      </c>
      <c r="E551" s="28" t="n">
        <f aca="false">IF(D551="","",MIN(Sigma!AC76:AC77))</f>
        <v>7.29122541603631</v>
      </c>
    </row>
    <row r="552" customFormat="false" ht="15" hidden="false" customHeight="true" outlineLevel="0" collapsed="false">
      <c r="A552" s="9" t="s">
        <v>212</v>
      </c>
      <c r="B552" s="11" t="s">
        <v>122</v>
      </c>
      <c r="C552" s="11" t="s">
        <v>29</v>
      </c>
      <c r="D552" s="27" t="str">
        <f aca="false">IF('TEa input'!K40="","",'TEa input'!K40)</f>
        <v/>
      </c>
      <c r="E552" s="28" t="str">
        <f aca="false">IF(D552="","",MIN(Sigma!AD76:AD77))</f>
        <v/>
      </c>
    </row>
    <row r="553" customFormat="false" ht="15" hidden="false" customHeight="true" outlineLevel="0" collapsed="false">
      <c r="A553" s="9" t="s">
        <v>212</v>
      </c>
      <c r="B553" s="11" t="s">
        <v>122</v>
      </c>
      <c r="C553" s="11" t="s">
        <v>30</v>
      </c>
      <c r="D553" s="27" t="str">
        <f aca="false">IF('TEa input'!M40="","",'TEa input'!M40)</f>
        <v/>
      </c>
      <c r="E553" s="28" t="str">
        <f aca="false">IF(D553="","",MIN(Sigma!AE76:AE77))</f>
        <v/>
      </c>
    </row>
    <row r="554" customFormat="false" ht="15" hidden="false" customHeight="true" outlineLevel="0" collapsed="false">
      <c r="A554" s="9" t="s">
        <v>212</v>
      </c>
      <c r="B554" s="11" t="s">
        <v>122</v>
      </c>
      <c r="C554" s="11" t="s">
        <v>31</v>
      </c>
      <c r="D554" s="27" t="n">
        <f aca="false">IF('TEa input'!O40="","",'TEa input'!O40)</f>
        <v>20</v>
      </c>
      <c r="E554" s="28" t="n">
        <f aca="false">IF(D554="","",MIN(Sigma!AF76:AF77))</f>
        <v>14.8555219364599</v>
      </c>
    </row>
    <row r="555" customFormat="false" ht="15" hidden="false" customHeight="true" outlineLevel="0" collapsed="false">
      <c r="A555" s="9" t="s">
        <v>212</v>
      </c>
      <c r="B555" s="11" t="s">
        <v>122</v>
      </c>
      <c r="C555" s="11" t="s">
        <v>32</v>
      </c>
      <c r="D555" s="27" t="n">
        <f aca="false">IF('TEa input'!Q40="","",'TEa input'!Q40)</f>
        <v>18</v>
      </c>
      <c r="E555" s="28" t="n">
        <f aca="false">IF(D555="","",MIN(Sigma!AG76:AG77))</f>
        <v>13.3426626323752</v>
      </c>
    </row>
    <row r="556" customFormat="false" ht="15" hidden="false" customHeight="true" outlineLevel="0" collapsed="false">
      <c r="A556" s="9" t="s">
        <v>212</v>
      </c>
      <c r="B556" s="11" t="s">
        <v>122</v>
      </c>
      <c r="C556" s="11" t="s">
        <v>33</v>
      </c>
      <c r="D556" s="27" t="n">
        <f aca="false">IF('TEa input'!R40="","",'TEa input'!R40)</f>
        <v>9.3</v>
      </c>
      <c r="E556" s="28" t="n">
        <f aca="false">IF(D556="","",MIN(Sigma!AH76:AH77))</f>
        <v>6.76172465960666</v>
      </c>
    </row>
    <row r="557" customFormat="false" ht="15" hidden="false" customHeight="true" outlineLevel="0" collapsed="false">
      <c r="A557" s="9" t="s">
        <v>212</v>
      </c>
      <c r="B557" s="11" t="s">
        <v>122</v>
      </c>
      <c r="C557" s="11" t="s">
        <v>34</v>
      </c>
      <c r="D557" s="27" t="str">
        <f aca="false">IF('TEa input'!T40="","",'TEa input'!T40)</f>
        <v/>
      </c>
      <c r="E557" s="28" t="str">
        <f aca="false">IF(D557="","",MIN(Sigma!AI76:AI77))</f>
        <v/>
      </c>
    </row>
    <row r="558" customFormat="false" ht="15" hidden="false" customHeight="true" outlineLevel="0" collapsed="false">
      <c r="A558" s="9" t="s">
        <v>212</v>
      </c>
      <c r="B558" s="11" t="s">
        <v>122</v>
      </c>
      <c r="C558" s="11" t="s">
        <v>320</v>
      </c>
      <c r="D558" s="27" t="str">
        <f aca="false">IF('TEa input'!Y40="","",'TEa input'!Y40)</f>
        <v/>
      </c>
      <c r="E558" s="28" t="str">
        <f aca="false">IF(D558="","",MIN(Sigma!AJ76:AJ77))</f>
        <v/>
      </c>
    </row>
    <row r="559" customFormat="false" ht="15" hidden="false" customHeight="true" outlineLevel="0" collapsed="false">
      <c r="A559" s="9" t="s">
        <v>212</v>
      </c>
      <c r="B559" s="11" t="s">
        <v>122</v>
      </c>
      <c r="C559" s="11" t="s">
        <v>321</v>
      </c>
      <c r="D559" s="27" t="str">
        <f aca="false">IF('TEa input'!Z40="","",'TEa input'!Z40)</f>
        <v/>
      </c>
      <c r="E559" s="28" t="str">
        <f aca="false">IF(D559="","",MIN(Sigma!AK76:AK77))</f>
        <v/>
      </c>
    </row>
    <row r="560" customFormat="false" ht="15" hidden="false" customHeight="true" outlineLevel="0" collapsed="false">
      <c r="A560" s="9" t="s">
        <v>212</v>
      </c>
      <c r="B560" s="11" t="s">
        <v>122</v>
      </c>
      <c r="C560" s="11" t="s">
        <v>322</v>
      </c>
      <c r="D560" s="27" t="str">
        <f aca="false">IF('TEa input'!AA40="","",'TEa input'!AA40)</f>
        <v/>
      </c>
      <c r="E560" s="28" t="str">
        <f aca="false">IF(D560="","",MIN(Sigma!AL76:AL77))</f>
        <v/>
      </c>
    </row>
    <row r="561" customFormat="false" ht="15" hidden="false" customHeight="true" outlineLevel="0" collapsed="false">
      <c r="A561" s="9" t="s">
        <v>212</v>
      </c>
      <c r="B561" s="11" t="s">
        <v>122</v>
      </c>
      <c r="C561" s="11" t="s">
        <v>323</v>
      </c>
      <c r="D561" s="27" t="str">
        <f aca="false">IF('TEa input'!AB40="","",'TEa input'!AB40)</f>
        <v/>
      </c>
      <c r="E561" s="28" t="str">
        <f aca="false">IF(D561="","",MIN(Sigma!AM76:AM77))</f>
        <v/>
      </c>
    </row>
    <row r="562" customFormat="false" ht="15" hidden="false" customHeight="true" outlineLevel="0" collapsed="false">
      <c r="A562" s="9" t="s">
        <v>212</v>
      </c>
      <c r="B562" s="11" t="s">
        <v>122</v>
      </c>
      <c r="C562" s="11" t="s">
        <v>324</v>
      </c>
      <c r="D562" s="27" t="n">
        <f aca="false">IF('TEa input'!AC40="","",'TEa input'!AC40)</f>
        <v>8</v>
      </c>
      <c r="E562" s="28" t="n">
        <f aca="false">IF(D562="","",MIN(Sigma!AN76:AN77))</f>
        <v>5.77836611195159</v>
      </c>
    </row>
    <row r="563" customFormat="false" ht="15" hidden="false" customHeight="true" outlineLevel="0" collapsed="false">
      <c r="A563" s="9" t="s">
        <v>212</v>
      </c>
      <c r="B563" s="11" t="s">
        <v>122</v>
      </c>
      <c r="C563" s="11" t="s">
        <v>325</v>
      </c>
      <c r="D563" s="27" t="str">
        <f aca="false">IF('TEa input'!AD40="","",'TEa input'!AD40)</f>
        <v/>
      </c>
      <c r="E563" s="28" t="str">
        <f aca="false">IF(D563="","",MIN(Sigma!AO76:AO77))</f>
        <v/>
      </c>
    </row>
    <row r="564" customFormat="false" ht="15" hidden="false" customHeight="true" outlineLevel="0" collapsed="false">
      <c r="A564" s="9" t="s">
        <v>212</v>
      </c>
      <c r="B564" s="11" t="s">
        <v>122</v>
      </c>
      <c r="C564" s="29" t="str">
        <f aca="false">IF('TEa input'!AE40="","Other",'TEa input'!AE40)</f>
        <v>Other</v>
      </c>
      <c r="D564" s="27" t="str">
        <f aca="false">IF('TEa input'!AF40="","",'TEa input'!AF40)</f>
        <v/>
      </c>
      <c r="E564" s="28" t="str">
        <f aca="false">IF(D564="","",MIN(Sigma!AP76:AP77))</f>
        <v/>
      </c>
    </row>
    <row r="565" customFormat="false" ht="15" hidden="false" customHeight="true" outlineLevel="0" collapsed="false">
      <c r="A565" s="9" t="s">
        <v>213</v>
      </c>
      <c r="B565" s="11" t="s">
        <v>122</v>
      </c>
      <c r="C565" s="11" t="s">
        <v>26</v>
      </c>
      <c r="D565" s="27" t="n">
        <f aca="false">IF('TEa input'!E41="","",'TEa input'!E41)</f>
        <v>15</v>
      </c>
      <c r="E565" s="28" t="n">
        <f aca="false">IF(D565="","",MIN(Sigma!AA78:AA79))</f>
        <v>2.68503430531732</v>
      </c>
    </row>
    <row r="566" customFormat="false" ht="15" hidden="false" customHeight="true" outlineLevel="0" collapsed="false">
      <c r="A566" s="9" t="s">
        <v>213</v>
      </c>
      <c r="B566" s="11" t="s">
        <v>122</v>
      </c>
      <c r="C566" s="11" t="s">
        <v>27</v>
      </c>
      <c r="D566" s="27" t="n">
        <f aca="false">IF('TEa input'!G41="","",'TEa input'!G41)</f>
        <v>20</v>
      </c>
      <c r="E566" s="28" t="n">
        <f aca="false">IF(D566="","",MIN(Sigma!AB78:AB79))</f>
        <v>3.75707547169811</v>
      </c>
    </row>
    <row r="567" customFormat="false" ht="15" hidden="false" customHeight="true" outlineLevel="0" collapsed="false">
      <c r="A567" s="9" t="s">
        <v>213</v>
      </c>
      <c r="B567" s="11" t="s">
        <v>122</v>
      </c>
      <c r="C567" s="11" t="s">
        <v>28</v>
      </c>
      <c r="D567" s="27" t="n">
        <f aca="false">IF('TEa input'!I41="","",'TEa input'!I41)</f>
        <v>13</v>
      </c>
      <c r="E567" s="28" t="n">
        <f aca="false">IF(D567="","",MIN(Sigma!AC78:AC79))</f>
        <v>2.25621783876501</v>
      </c>
    </row>
    <row r="568" customFormat="false" ht="15" hidden="false" customHeight="true" outlineLevel="0" collapsed="false">
      <c r="A568" s="9" t="s">
        <v>213</v>
      </c>
      <c r="B568" s="11" t="s">
        <v>122</v>
      </c>
      <c r="C568" s="11" t="s">
        <v>29</v>
      </c>
      <c r="D568" s="27" t="str">
        <f aca="false">IF('TEa input'!K41="","",'TEa input'!K41)</f>
        <v/>
      </c>
      <c r="E568" s="28" t="str">
        <f aca="false">IF(D568="","",MIN(Sigma!AD78:AD79))</f>
        <v/>
      </c>
    </row>
    <row r="569" customFormat="false" ht="15" hidden="false" customHeight="true" outlineLevel="0" collapsed="false">
      <c r="A569" s="9" t="s">
        <v>213</v>
      </c>
      <c r="B569" s="11" t="s">
        <v>122</v>
      </c>
      <c r="C569" s="11" t="s">
        <v>30</v>
      </c>
      <c r="D569" s="27" t="str">
        <f aca="false">IF('TEa input'!M41="","",'TEa input'!M41)</f>
        <v/>
      </c>
      <c r="E569" s="28" t="str">
        <f aca="false">IF(D569="","",MIN(Sigma!AE78:AE79))</f>
        <v/>
      </c>
    </row>
    <row r="570" customFormat="false" ht="15" hidden="false" customHeight="true" outlineLevel="0" collapsed="false">
      <c r="A570" s="9" t="s">
        <v>213</v>
      </c>
      <c r="B570" s="11" t="s">
        <v>122</v>
      </c>
      <c r="C570" s="11" t="s">
        <v>31</v>
      </c>
      <c r="D570" s="27" t="n">
        <f aca="false">IF('TEa input'!O41="","",'TEa input'!O41)</f>
        <v>25</v>
      </c>
      <c r="E570" s="28" t="n">
        <f aca="false">IF(D570="","",MIN(Sigma!AF78:AF79))</f>
        <v>4.8291166380789</v>
      </c>
    </row>
    <row r="571" customFormat="false" ht="15" hidden="false" customHeight="true" outlineLevel="0" collapsed="false">
      <c r="A571" s="9" t="s">
        <v>213</v>
      </c>
      <c r="B571" s="11" t="s">
        <v>122</v>
      </c>
      <c r="C571" s="11" t="s">
        <v>32</v>
      </c>
      <c r="D571" s="27" t="n">
        <f aca="false">IF('TEa input'!Q41="","",'TEa input'!Q41)</f>
        <v>21</v>
      </c>
      <c r="E571" s="28" t="n">
        <f aca="false">IF(D571="","",MIN(Sigma!AG78:AG79))</f>
        <v>3.97148370497427</v>
      </c>
    </row>
    <row r="572" customFormat="false" ht="15" hidden="false" customHeight="true" outlineLevel="0" collapsed="false">
      <c r="A572" s="9" t="s">
        <v>213</v>
      </c>
      <c r="B572" s="11" t="s">
        <v>122</v>
      </c>
      <c r="C572" s="11" t="s">
        <v>33</v>
      </c>
      <c r="D572" s="27" t="n">
        <f aca="false">IF('TEa input'!R41="","",'TEa input'!R41)</f>
        <v>12.2</v>
      </c>
      <c r="E572" s="28" t="n">
        <f aca="false">IF(D572="","",MIN(Sigma!AH78:AH79))</f>
        <v>2.08469125214408</v>
      </c>
    </row>
    <row r="573" customFormat="false" ht="15" hidden="false" customHeight="true" outlineLevel="0" collapsed="false">
      <c r="A573" s="9" t="s">
        <v>213</v>
      </c>
      <c r="B573" s="11" t="s">
        <v>122</v>
      </c>
      <c r="C573" s="11" t="s">
        <v>34</v>
      </c>
      <c r="D573" s="27" t="str">
        <f aca="false">IF('TEa input'!T41="","",'TEa input'!T41)</f>
        <v/>
      </c>
      <c r="E573" s="28" t="str">
        <f aca="false">IF(D573="","",MIN(Sigma!AI78:AI79))</f>
        <v/>
      </c>
    </row>
    <row r="574" customFormat="false" ht="15" hidden="false" customHeight="true" outlineLevel="0" collapsed="false">
      <c r="A574" s="9" t="s">
        <v>213</v>
      </c>
      <c r="B574" s="11" t="s">
        <v>122</v>
      </c>
      <c r="C574" s="11" t="s">
        <v>320</v>
      </c>
      <c r="D574" s="27" t="str">
        <f aca="false">IF('TEa input'!Y41="","",'TEa input'!Y41)</f>
        <v/>
      </c>
      <c r="E574" s="28" t="str">
        <f aca="false">IF(D574="","",MIN(Sigma!AJ78:AJ79))</f>
        <v/>
      </c>
    </row>
    <row r="575" customFormat="false" ht="15" hidden="false" customHeight="true" outlineLevel="0" collapsed="false">
      <c r="A575" s="9" t="s">
        <v>213</v>
      </c>
      <c r="B575" s="11" t="s">
        <v>122</v>
      </c>
      <c r="C575" s="11" t="s">
        <v>321</v>
      </c>
      <c r="D575" s="27" t="str">
        <f aca="false">IF('TEa input'!Z41="","",'TEa input'!Z41)</f>
        <v/>
      </c>
      <c r="E575" s="28" t="str">
        <f aca="false">IF(D575="","",MIN(Sigma!AK78:AK79))</f>
        <v/>
      </c>
    </row>
    <row r="576" customFormat="false" ht="15" hidden="false" customHeight="true" outlineLevel="0" collapsed="false">
      <c r="A576" s="9" t="s">
        <v>213</v>
      </c>
      <c r="B576" s="11" t="s">
        <v>122</v>
      </c>
      <c r="C576" s="11" t="s">
        <v>322</v>
      </c>
      <c r="D576" s="27" t="str">
        <f aca="false">IF('TEa input'!AA41="","",'TEa input'!AA41)</f>
        <v/>
      </c>
      <c r="E576" s="28" t="str">
        <f aca="false">IF(D576="","",MIN(Sigma!AL78:AL79))</f>
        <v/>
      </c>
    </row>
    <row r="577" customFormat="false" ht="15" hidden="false" customHeight="true" outlineLevel="0" collapsed="false">
      <c r="A577" s="9" t="s">
        <v>213</v>
      </c>
      <c r="B577" s="11" t="s">
        <v>122</v>
      </c>
      <c r="C577" s="11" t="s">
        <v>323</v>
      </c>
      <c r="D577" s="27" t="str">
        <f aca="false">IF('TEa input'!AB41="","",'TEa input'!AB41)</f>
        <v/>
      </c>
      <c r="E577" s="28" t="str">
        <f aca="false">IF(D577="","",MIN(Sigma!AM78:AM79))</f>
        <v/>
      </c>
    </row>
    <row r="578" customFormat="false" ht="15" hidden="false" customHeight="true" outlineLevel="0" collapsed="false">
      <c r="A578" s="9" t="s">
        <v>213</v>
      </c>
      <c r="B578" s="11" t="s">
        <v>122</v>
      </c>
      <c r="C578" s="11" t="s">
        <v>324</v>
      </c>
      <c r="D578" s="27" t="n">
        <f aca="false">IF('TEa input'!AC41="","",'TEa input'!AC41)</f>
        <v>16.8</v>
      </c>
      <c r="E578" s="28" t="n">
        <f aca="false">IF(D578="","",MIN(Sigma!AN78:AN79))</f>
        <v>3.07096912521441</v>
      </c>
    </row>
    <row r="579" customFormat="false" ht="15" hidden="false" customHeight="true" outlineLevel="0" collapsed="false">
      <c r="A579" s="9" t="s">
        <v>213</v>
      </c>
      <c r="B579" s="11" t="s">
        <v>122</v>
      </c>
      <c r="C579" s="11" t="s">
        <v>325</v>
      </c>
      <c r="D579" s="27" t="str">
        <f aca="false">IF('TEa input'!AD41="","",'TEa input'!AD41)</f>
        <v/>
      </c>
      <c r="E579" s="28" t="str">
        <f aca="false">IF(D579="","",MIN(Sigma!AO78:AO79))</f>
        <v/>
      </c>
    </row>
    <row r="580" customFormat="false" ht="15" hidden="false" customHeight="true" outlineLevel="0" collapsed="false">
      <c r="A580" s="9" t="s">
        <v>213</v>
      </c>
      <c r="B580" s="11" t="s">
        <v>122</v>
      </c>
      <c r="C580" s="29" t="str">
        <f aca="false">IF('TEa input'!AE41="","Other",'TEa input'!AE41)</f>
        <v>Other</v>
      </c>
      <c r="D580" s="27" t="str">
        <f aca="false">IF('TEa input'!AF41="","",'TEa input'!AF41)</f>
        <v/>
      </c>
      <c r="E580" s="28" t="str">
        <f aca="false">IF(D580="","",MIN(Sigma!AP78:AP79))</f>
        <v/>
      </c>
    </row>
    <row r="581" customFormat="false" ht="15" hidden="false" customHeight="true" outlineLevel="0" collapsed="false">
      <c r="A581" s="9" t="s">
        <v>215</v>
      </c>
      <c r="B581" s="11" t="s">
        <v>122</v>
      </c>
      <c r="C581" s="11" t="s">
        <v>26</v>
      </c>
      <c r="D581" s="27" t="str">
        <f aca="false">IF('TEa input'!E42="","",'TEa input'!E42)</f>
        <v/>
      </c>
      <c r="E581" s="28" t="str">
        <f aca="false">IF(D581="","",MIN(Sigma!AA80:AA81))</f>
        <v/>
      </c>
    </row>
    <row r="582" customFormat="false" ht="15" hidden="false" customHeight="true" outlineLevel="0" collapsed="false">
      <c r="A582" s="9" t="s">
        <v>215</v>
      </c>
      <c r="B582" s="11" t="s">
        <v>122</v>
      </c>
      <c r="C582" s="11" t="s">
        <v>27</v>
      </c>
      <c r="D582" s="27" t="str">
        <f aca="false">IF('TEa input'!G42="","",'TEa input'!G42)</f>
        <v/>
      </c>
      <c r="E582" s="28" t="str">
        <f aca="false">IF(D582="","",MIN(Sigma!AB80:AB81))</f>
        <v/>
      </c>
    </row>
    <row r="583" customFormat="false" ht="15" hidden="false" customHeight="true" outlineLevel="0" collapsed="false">
      <c r="A583" s="9" t="s">
        <v>215</v>
      </c>
      <c r="B583" s="11" t="s">
        <v>122</v>
      </c>
      <c r="C583" s="11" t="s">
        <v>28</v>
      </c>
      <c r="D583" s="27" t="str">
        <f aca="false">IF('TEa input'!I42="","",'TEa input'!I42)</f>
        <v/>
      </c>
      <c r="E583" s="28" t="str">
        <f aca="false">IF(D583="","",MIN(Sigma!AC80:AC81))</f>
        <v/>
      </c>
    </row>
    <row r="584" customFormat="false" ht="15" hidden="false" customHeight="true" outlineLevel="0" collapsed="false">
      <c r="A584" s="9" t="s">
        <v>215</v>
      </c>
      <c r="B584" s="11" t="s">
        <v>122</v>
      </c>
      <c r="C584" s="11" t="s">
        <v>29</v>
      </c>
      <c r="D584" s="27" t="str">
        <f aca="false">IF('TEa input'!K42="","",'TEa input'!K42)</f>
        <v/>
      </c>
      <c r="E584" s="28" t="str">
        <f aca="false">IF(D584="","",MIN(Sigma!AD80:AD81))</f>
        <v/>
      </c>
    </row>
    <row r="585" customFormat="false" ht="15" hidden="false" customHeight="true" outlineLevel="0" collapsed="false">
      <c r="A585" s="9" t="s">
        <v>215</v>
      </c>
      <c r="B585" s="11" t="s">
        <v>122</v>
      </c>
      <c r="C585" s="11" t="s">
        <v>30</v>
      </c>
      <c r="D585" s="27" t="str">
        <f aca="false">IF('TEa input'!M42="","",'TEa input'!M42)</f>
        <v/>
      </c>
      <c r="E585" s="28" t="str">
        <f aca="false">IF(D585="","",MIN(Sigma!AE80:AE81))</f>
        <v/>
      </c>
    </row>
    <row r="586" customFormat="false" ht="15" hidden="false" customHeight="true" outlineLevel="0" collapsed="false">
      <c r="A586" s="9" t="s">
        <v>215</v>
      </c>
      <c r="B586" s="11" t="s">
        <v>122</v>
      </c>
      <c r="C586" s="11" t="s">
        <v>31</v>
      </c>
      <c r="D586" s="27" t="str">
        <f aca="false">IF('TEa input'!O42="","",'TEa input'!O42)</f>
        <v/>
      </c>
      <c r="E586" s="28" t="str">
        <f aca="false">IF(D586="","",MIN(Sigma!AF80:AF81))</f>
        <v/>
      </c>
    </row>
    <row r="587" customFormat="false" ht="15" hidden="false" customHeight="true" outlineLevel="0" collapsed="false">
      <c r="A587" s="9" t="s">
        <v>215</v>
      </c>
      <c r="B587" s="11" t="s">
        <v>122</v>
      </c>
      <c r="C587" s="11" t="s">
        <v>32</v>
      </c>
      <c r="D587" s="27" t="str">
        <f aca="false">IF('TEa input'!Q42="","",'TEa input'!Q42)</f>
        <v/>
      </c>
      <c r="E587" s="28" t="str">
        <f aca="false">IF(D587="","",MIN(Sigma!AG80:AG81))</f>
        <v/>
      </c>
    </row>
    <row r="588" customFormat="false" ht="15" hidden="false" customHeight="true" outlineLevel="0" collapsed="false">
      <c r="A588" s="9" t="s">
        <v>215</v>
      </c>
      <c r="B588" s="11" t="s">
        <v>122</v>
      </c>
      <c r="C588" s="11" t="s">
        <v>33</v>
      </c>
      <c r="D588" s="27" t="str">
        <f aca="false">IF('TEa input'!R42="","",'TEa input'!R42)</f>
        <v/>
      </c>
      <c r="E588" s="28" t="str">
        <f aca="false">IF(D588="","",MIN(Sigma!AH80:AH81))</f>
        <v/>
      </c>
    </row>
    <row r="589" customFormat="false" ht="15" hidden="false" customHeight="true" outlineLevel="0" collapsed="false">
      <c r="A589" s="9" t="s">
        <v>215</v>
      </c>
      <c r="B589" s="11" t="s">
        <v>122</v>
      </c>
      <c r="C589" s="11" t="s">
        <v>34</v>
      </c>
      <c r="D589" s="27" t="str">
        <f aca="false">IF('TEa input'!T42="","",'TEa input'!T42)</f>
        <v/>
      </c>
      <c r="E589" s="28" t="str">
        <f aca="false">IF(D589="","",MIN(Sigma!AI80:AI81))</f>
        <v/>
      </c>
    </row>
    <row r="590" customFormat="false" ht="15" hidden="false" customHeight="true" outlineLevel="0" collapsed="false">
      <c r="A590" s="9" t="s">
        <v>215</v>
      </c>
      <c r="B590" s="11" t="s">
        <v>122</v>
      </c>
      <c r="C590" s="11" t="s">
        <v>320</v>
      </c>
      <c r="D590" s="27" t="str">
        <f aca="false">IF('TEa input'!Y42="","",'TEa input'!Y42)</f>
        <v/>
      </c>
      <c r="E590" s="28" t="str">
        <f aca="false">IF(D590="","",MIN(Sigma!AJ80:AJ81))</f>
        <v/>
      </c>
    </row>
    <row r="591" customFormat="false" ht="15" hidden="false" customHeight="true" outlineLevel="0" collapsed="false">
      <c r="A591" s="9" t="s">
        <v>215</v>
      </c>
      <c r="B591" s="11" t="s">
        <v>122</v>
      </c>
      <c r="C591" s="11" t="s">
        <v>321</v>
      </c>
      <c r="D591" s="27" t="str">
        <f aca="false">IF('TEa input'!Z42="","",'TEa input'!Z42)</f>
        <v/>
      </c>
      <c r="E591" s="28" t="str">
        <f aca="false">IF(D591="","",MIN(Sigma!AK80:AK81))</f>
        <v/>
      </c>
    </row>
    <row r="592" customFormat="false" ht="15" hidden="false" customHeight="true" outlineLevel="0" collapsed="false">
      <c r="A592" s="9" t="s">
        <v>215</v>
      </c>
      <c r="B592" s="11" t="s">
        <v>122</v>
      </c>
      <c r="C592" s="11" t="s">
        <v>322</v>
      </c>
      <c r="D592" s="27" t="str">
        <f aca="false">IF('TEa input'!AA42="","",'TEa input'!AA42)</f>
        <v/>
      </c>
      <c r="E592" s="28" t="str">
        <f aca="false">IF(D592="","",MIN(Sigma!AL80:AL81))</f>
        <v/>
      </c>
    </row>
    <row r="593" customFormat="false" ht="15" hidden="false" customHeight="true" outlineLevel="0" collapsed="false">
      <c r="A593" s="9" t="s">
        <v>215</v>
      </c>
      <c r="B593" s="11" t="s">
        <v>122</v>
      </c>
      <c r="C593" s="11" t="s">
        <v>323</v>
      </c>
      <c r="D593" s="27" t="str">
        <f aca="false">IF('TEa input'!AB42="","",'TEa input'!AB42)</f>
        <v/>
      </c>
      <c r="E593" s="28" t="str">
        <f aca="false">IF(D593="","",MIN(Sigma!AM80:AM81))</f>
        <v/>
      </c>
    </row>
    <row r="594" customFormat="false" ht="15" hidden="false" customHeight="true" outlineLevel="0" collapsed="false">
      <c r="A594" s="9" t="s">
        <v>215</v>
      </c>
      <c r="B594" s="11" t="s">
        <v>122</v>
      </c>
      <c r="C594" s="11" t="s">
        <v>324</v>
      </c>
      <c r="D594" s="27" t="str">
        <f aca="false">IF('TEa input'!AC42="","",'TEa input'!AC42)</f>
        <v/>
      </c>
      <c r="E594" s="28" t="str">
        <f aca="false">IF(D594="","",MIN(Sigma!AN80:AN81))</f>
        <v/>
      </c>
    </row>
    <row r="595" customFormat="false" ht="15" hidden="false" customHeight="true" outlineLevel="0" collapsed="false">
      <c r="A595" s="9" t="s">
        <v>215</v>
      </c>
      <c r="B595" s="11" t="s">
        <v>122</v>
      </c>
      <c r="C595" s="11" t="s">
        <v>325</v>
      </c>
      <c r="D595" s="27" t="str">
        <f aca="false">IF('TEa input'!AD42="","",'TEa input'!AD42)</f>
        <v/>
      </c>
      <c r="E595" s="28" t="str">
        <f aca="false">IF(D595="","",MIN(Sigma!AO80:AO81))</f>
        <v/>
      </c>
    </row>
    <row r="596" customFormat="false" ht="15" hidden="false" customHeight="true" outlineLevel="0" collapsed="false">
      <c r="A596" s="9" t="s">
        <v>215</v>
      </c>
      <c r="B596" s="11" t="s">
        <v>122</v>
      </c>
      <c r="C596" s="29" t="str">
        <f aca="false">IF('TEa input'!AE42="","Other",'TEa input'!AE42)</f>
        <v>Other</v>
      </c>
      <c r="D596" s="27" t="str">
        <f aca="false">IF('TEa input'!AF42="","",'TEa input'!AF42)</f>
        <v/>
      </c>
      <c r="E596" s="28" t="str">
        <f aca="false">IF(D596="","",MIN(Sigma!AP80:AP81))</f>
        <v/>
      </c>
    </row>
    <row r="597" customFormat="false" ht="15" hidden="false" customHeight="true" outlineLevel="0" collapsed="false">
      <c r="A597" s="9" t="s">
        <v>217</v>
      </c>
      <c r="B597" s="11" t="s">
        <v>122</v>
      </c>
      <c r="C597" s="11" t="s">
        <v>26</v>
      </c>
      <c r="D597" s="27" t="str">
        <f aca="false">IF('TEa input'!E43="","",'TEa input'!E43)</f>
        <v/>
      </c>
      <c r="E597" s="28" t="str">
        <f aca="false">IF(D597="","",MIN(Sigma!AA82:AA83))</f>
        <v/>
      </c>
    </row>
    <row r="598" customFormat="false" ht="15" hidden="false" customHeight="true" outlineLevel="0" collapsed="false">
      <c r="A598" s="9" t="s">
        <v>217</v>
      </c>
      <c r="B598" s="11" t="s">
        <v>122</v>
      </c>
      <c r="C598" s="11" t="s">
        <v>27</v>
      </c>
      <c r="D598" s="27" t="n">
        <f aca="false">IF('TEa input'!G43="","",'TEa input'!G43)</f>
        <v>20</v>
      </c>
      <c r="E598" s="28" t="n">
        <f aca="false">IF(D598="","",MIN(Sigma!AB82:AB83))</f>
        <v>6.51336898395722</v>
      </c>
    </row>
    <row r="599" customFormat="false" ht="15" hidden="false" customHeight="true" outlineLevel="0" collapsed="false">
      <c r="A599" s="9" t="s">
        <v>217</v>
      </c>
      <c r="B599" s="11" t="s">
        <v>122</v>
      </c>
      <c r="C599" s="11" t="s">
        <v>28</v>
      </c>
      <c r="D599" s="27" t="str">
        <f aca="false">IF('TEa input'!I43="","",'TEa input'!I43)</f>
        <v/>
      </c>
      <c r="E599" s="28" t="str">
        <f aca="false">IF(D599="","",MIN(Sigma!AC82:AC83))</f>
        <v/>
      </c>
    </row>
    <row r="600" customFormat="false" ht="15" hidden="false" customHeight="true" outlineLevel="0" collapsed="false">
      <c r="A600" s="9" t="s">
        <v>217</v>
      </c>
      <c r="B600" s="11" t="s">
        <v>122</v>
      </c>
      <c r="C600" s="11" t="s">
        <v>29</v>
      </c>
      <c r="D600" s="27" t="str">
        <f aca="false">IF('TEa input'!K43="","",'TEa input'!K43)</f>
        <v/>
      </c>
      <c r="E600" s="28" t="str">
        <f aca="false">IF(D600="","",MIN(Sigma!AD82:AD83))</f>
        <v/>
      </c>
    </row>
    <row r="601" customFormat="false" ht="15" hidden="false" customHeight="true" outlineLevel="0" collapsed="false">
      <c r="A601" s="9" t="s">
        <v>217</v>
      </c>
      <c r="B601" s="11" t="s">
        <v>122</v>
      </c>
      <c r="C601" s="11" t="s">
        <v>30</v>
      </c>
      <c r="D601" s="27" t="n">
        <f aca="false">IF('TEa input'!M43="","",'TEa input'!M43)</f>
        <v>10</v>
      </c>
      <c r="E601" s="28" t="n">
        <f aca="false">IF(D601="","",MIN(Sigma!AE82:AE83))</f>
        <v>3.17112299465241</v>
      </c>
    </row>
    <row r="602" customFormat="false" ht="15" hidden="false" customHeight="true" outlineLevel="0" collapsed="false">
      <c r="A602" s="9" t="s">
        <v>217</v>
      </c>
      <c r="B602" s="11" t="s">
        <v>122</v>
      </c>
      <c r="C602" s="11" t="s">
        <v>31</v>
      </c>
      <c r="D602" s="27" t="str">
        <f aca="false">IF('TEa input'!O43="","",'TEa input'!O43)</f>
        <v/>
      </c>
      <c r="E602" s="28" t="str">
        <f aca="false">IF(D602="","",MIN(Sigma!AF82:AF83))</f>
        <v/>
      </c>
    </row>
    <row r="603" customFormat="false" ht="15" hidden="false" customHeight="true" outlineLevel="0" collapsed="false">
      <c r="A603" s="9" t="s">
        <v>217</v>
      </c>
      <c r="B603" s="11" t="s">
        <v>122</v>
      </c>
      <c r="C603" s="11" t="s">
        <v>32</v>
      </c>
      <c r="D603" s="27" t="str">
        <f aca="false">IF('TEa input'!Q43="","",'TEa input'!Q43)</f>
        <v/>
      </c>
      <c r="E603" s="28" t="str">
        <f aca="false">IF(D603="","",MIN(Sigma!AG82:AG83))</f>
        <v/>
      </c>
    </row>
    <row r="604" customFormat="false" ht="15" hidden="false" customHeight="true" outlineLevel="0" collapsed="false">
      <c r="A604" s="9" t="s">
        <v>217</v>
      </c>
      <c r="B604" s="11" t="s">
        <v>122</v>
      </c>
      <c r="C604" s="11" t="s">
        <v>33</v>
      </c>
      <c r="D604" s="27" t="str">
        <f aca="false">IF('TEa input'!R43="","",'TEa input'!R43)</f>
        <v/>
      </c>
      <c r="E604" s="28" t="str">
        <f aca="false">IF(D604="","",MIN(Sigma!AH82:AH83))</f>
        <v/>
      </c>
    </row>
    <row r="605" customFormat="false" ht="15" hidden="false" customHeight="true" outlineLevel="0" collapsed="false">
      <c r="A605" s="9" t="s">
        <v>217</v>
      </c>
      <c r="B605" s="11" t="s">
        <v>122</v>
      </c>
      <c r="C605" s="11" t="s">
        <v>34</v>
      </c>
      <c r="D605" s="27" t="str">
        <f aca="false">IF('TEa input'!T43="","",'TEa input'!T43)</f>
        <v/>
      </c>
      <c r="E605" s="28" t="str">
        <f aca="false">IF(D605="","",MIN(Sigma!AI82:AI83))</f>
        <v/>
      </c>
    </row>
    <row r="606" customFormat="false" ht="15" hidden="false" customHeight="true" outlineLevel="0" collapsed="false">
      <c r="A606" s="9" t="s">
        <v>217</v>
      </c>
      <c r="B606" s="11" t="s">
        <v>122</v>
      </c>
      <c r="C606" s="11" t="s">
        <v>320</v>
      </c>
      <c r="D606" s="27" t="str">
        <f aca="false">IF('TEa input'!Y43="","",'TEa input'!Y43)</f>
        <v/>
      </c>
      <c r="E606" s="28" t="str">
        <f aca="false">IF(D606="","",MIN(Sigma!AJ82:AJ83))</f>
        <v/>
      </c>
    </row>
    <row r="607" customFormat="false" ht="15" hidden="false" customHeight="true" outlineLevel="0" collapsed="false">
      <c r="A607" s="9" t="s">
        <v>217</v>
      </c>
      <c r="B607" s="11" t="s">
        <v>122</v>
      </c>
      <c r="C607" s="11" t="s">
        <v>321</v>
      </c>
      <c r="D607" s="27" t="str">
        <f aca="false">IF('TEa input'!Z43="","",'TEa input'!Z43)</f>
        <v/>
      </c>
      <c r="E607" s="28" t="str">
        <f aca="false">IF(D607="","",MIN(Sigma!AK82:AK83))</f>
        <v/>
      </c>
    </row>
    <row r="608" customFormat="false" ht="15" hidden="false" customHeight="true" outlineLevel="0" collapsed="false">
      <c r="A608" s="9" t="s">
        <v>217</v>
      </c>
      <c r="B608" s="11" t="s">
        <v>122</v>
      </c>
      <c r="C608" s="11" t="s">
        <v>322</v>
      </c>
      <c r="D608" s="27" t="str">
        <f aca="false">IF('TEa input'!AA43="","",'TEa input'!AA43)</f>
        <v/>
      </c>
      <c r="E608" s="28" t="str">
        <f aca="false">IF(D608="","",MIN(Sigma!AL82:AL83))</f>
        <v/>
      </c>
    </row>
    <row r="609" customFormat="false" ht="15" hidden="false" customHeight="true" outlineLevel="0" collapsed="false">
      <c r="A609" s="9" t="s">
        <v>217</v>
      </c>
      <c r="B609" s="11" t="s">
        <v>122</v>
      </c>
      <c r="C609" s="11" t="s">
        <v>323</v>
      </c>
      <c r="D609" s="27" t="str">
        <f aca="false">IF('TEa input'!AB43="","",'TEa input'!AB43)</f>
        <v/>
      </c>
      <c r="E609" s="28" t="str">
        <f aca="false">IF(D609="","",MIN(Sigma!AM82:AM83))</f>
        <v/>
      </c>
    </row>
    <row r="610" customFormat="false" ht="15" hidden="false" customHeight="true" outlineLevel="0" collapsed="false">
      <c r="A610" s="9" t="s">
        <v>217</v>
      </c>
      <c r="B610" s="11" t="s">
        <v>122</v>
      </c>
      <c r="C610" s="11" t="s">
        <v>324</v>
      </c>
      <c r="D610" s="27" t="str">
        <f aca="false">IF('TEa input'!AC43="","",'TEa input'!AC43)</f>
        <v/>
      </c>
      <c r="E610" s="28" t="str">
        <f aca="false">IF(D610="","",MIN(Sigma!AN82:AN83))</f>
        <v/>
      </c>
    </row>
    <row r="611" customFormat="false" ht="15" hidden="false" customHeight="true" outlineLevel="0" collapsed="false">
      <c r="A611" s="9" t="s">
        <v>217</v>
      </c>
      <c r="B611" s="11" t="s">
        <v>122</v>
      </c>
      <c r="C611" s="11" t="s">
        <v>325</v>
      </c>
      <c r="D611" s="27" t="str">
        <f aca="false">IF('TEa input'!AD43="","",'TEa input'!AD43)</f>
        <v/>
      </c>
      <c r="E611" s="28" t="str">
        <f aca="false">IF(D611="","",MIN(Sigma!AO82:AO83))</f>
        <v/>
      </c>
    </row>
    <row r="612" customFormat="false" ht="15" hidden="false" customHeight="true" outlineLevel="0" collapsed="false">
      <c r="A612" s="9" t="s">
        <v>217</v>
      </c>
      <c r="B612" s="11" t="s">
        <v>122</v>
      </c>
      <c r="C612" s="29" t="str">
        <f aca="false">IF('TEa input'!AE43="","Other",'TEa input'!AE43)</f>
        <v>Other</v>
      </c>
      <c r="D612" s="27" t="str">
        <f aca="false">IF('TEa input'!AF43="","",'TEa input'!AF43)</f>
        <v/>
      </c>
      <c r="E612" s="28" t="str">
        <f aca="false">IF(D612="","",MIN(Sigma!AP82:AP83))</f>
        <v/>
      </c>
    </row>
    <row r="613" customFormat="false" ht="15" hidden="false" customHeight="true" outlineLevel="0" collapsed="false">
      <c r="A613" s="9" t="s">
        <v>220</v>
      </c>
      <c r="B613" s="11" t="s">
        <v>122</v>
      </c>
      <c r="C613" s="11" t="s">
        <v>26</v>
      </c>
      <c r="D613" s="27" t="str">
        <f aca="false">IF('TEa input'!E44="","",'TEa input'!E44)</f>
        <v/>
      </c>
      <c r="E613" s="28" t="str">
        <f aca="false">IF(D613="","",MIN(Sigma!AA84:AA85))</f>
        <v/>
      </c>
    </row>
    <row r="614" customFormat="false" ht="15" hidden="false" customHeight="true" outlineLevel="0" collapsed="false">
      <c r="A614" s="9" t="s">
        <v>220</v>
      </c>
      <c r="B614" s="11" t="s">
        <v>122</v>
      </c>
      <c r="C614" s="11" t="s">
        <v>27</v>
      </c>
      <c r="D614" s="27" t="str">
        <f aca="false">IF('TEa input'!G44="","",'TEa input'!G44)</f>
        <v/>
      </c>
      <c r="E614" s="28" t="str">
        <f aca="false">IF(D614="","",MIN(Sigma!AB84:AB85))</f>
        <v/>
      </c>
    </row>
    <row r="615" customFormat="false" ht="15" hidden="false" customHeight="true" outlineLevel="0" collapsed="false">
      <c r="A615" s="9" t="s">
        <v>220</v>
      </c>
      <c r="B615" s="11" t="s">
        <v>122</v>
      </c>
      <c r="C615" s="11" t="s">
        <v>28</v>
      </c>
      <c r="D615" s="27" t="str">
        <f aca="false">IF('TEa input'!I44="","",'TEa input'!I44)</f>
        <v/>
      </c>
      <c r="E615" s="28" t="str">
        <f aca="false">IF(D615="","",MIN(Sigma!AC84:AC85))</f>
        <v/>
      </c>
    </row>
    <row r="616" customFormat="false" ht="15" hidden="false" customHeight="true" outlineLevel="0" collapsed="false">
      <c r="A616" s="9" t="s">
        <v>220</v>
      </c>
      <c r="B616" s="11" t="s">
        <v>122</v>
      </c>
      <c r="C616" s="11" t="s">
        <v>29</v>
      </c>
      <c r="D616" s="27" t="str">
        <f aca="false">IF('TEa input'!K44="","",'TEa input'!K44)</f>
        <v/>
      </c>
      <c r="E616" s="28" t="str">
        <f aca="false">IF(D616="","",MIN(Sigma!AD84:AD85))</f>
        <v/>
      </c>
    </row>
    <row r="617" customFormat="false" ht="15" hidden="false" customHeight="true" outlineLevel="0" collapsed="false">
      <c r="A617" s="9" t="s">
        <v>220</v>
      </c>
      <c r="B617" s="11" t="s">
        <v>122</v>
      </c>
      <c r="C617" s="11" t="s">
        <v>30</v>
      </c>
      <c r="D617" s="27" t="n">
        <f aca="false">IF('TEa input'!M44="","",'TEa input'!M44)</f>
        <v>10</v>
      </c>
      <c r="E617" s="28" t="n">
        <f aca="false">IF(D617="","",MIN(Sigma!AE84:AE85))</f>
        <v>3.17129032258065</v>
      </c>
    </row>
    <row r="618" customFormat="false" ht="15" hidden="false" customHeight="true" outlineLevel="0" collapsed="false">
      <c r="A618" s="9" t="s">
        <v>220</v>
      </c>
      <c r="B618" s="11" t="s">
        <v>122</v>
      </c>
      <c r="C618" s="11" t="s">
        <v>31</v>
      </c>
      <c r="D618" s="27" t="str">
        <f aca="false">IF('TEa input'!O44="","",'TEa input'!O44)</f>
        <v/>
      </c>
      <c r="E618" s="28" t="str">
        <f aca="false">IF(D618="","",MIN(Sigma!AF84:AF85))</f>
        <v/>
      </c>
    </row>
    <row r="619" customFormat="false" ht="15" hidden="false" customHeight="true" outlineLevel="0" collapsed="false">
      <c r="A619" s="9" t="s">
        <v>220</v>
      </c>
      <c r="B619" s="11" t="s">
        <v>122</v>
      </c>
      <c r="C619" s="11" t="s">
        <v>32</v>
      </c>
      <c r="D619" s="27" t="str">
        <f aca="false">IF('TEa input'!Q44="","",'TEa input'!Q44)</f>
        <v/>
      </c>
      <c r="E619" s="28" t="str">
        <f aca="false">IF(D619="","",MIN(Sigma!AG84:AG85))</f>
        <v/>
      </c>
    </row>
    <row r="620" customFormat="false" ht="15" hidden="false" customHeight="true" outlineLevel="0" collapsed="false">
      <c r="A620" s="9" t="s">
        <v>220</v>
      </c>
      <c r="B620" s="11" t="s">
        <v>122</v>
      </c>
      <c r="C620" s="11" t="s">
        <v>33</v>
      </c>
      <c r="D620" s="27" t="str">
        <f aca="false">IF('TEa input'!R44="","",'TEa input'!R44)</f>
        <v/>
      </c>
      <c r="E620" s="28" t="str">
        <f aca="false">IF(D620="","",MIN(Sigma!AH84:AH85))</f>
        <v/>
      </c>
    </row>
    <row r="621" customFormat="false" ht="15" hidden="false" customHeight="true" outlineLevel="0" collapsed="false">
      <c r="A621" s="9" t="s">
        <v>220</v>
      </c>
      <c r="B621" s="11" t="s">
        <v>122</v>
      </c>
      <c r="C621" s="11" t="s">
        <v>34</v>
      </c>
      <c r="D621" s="27" t="str">
        <f aca="false">IF('TEa input'!T44="","",'TEa input'!T44)</f>
        <v/>
      </c>
      <c r="E621" s="28" t="str">
        <f aca="false">IF(D621="","",MIN(Sigma!AI84:AI85))</f>
        <v/>
      </c>
    </row>
    <row r="622" customFormat="false" ht="15" hidden="false" customHeight="true" outlineLevel="0" collapsed="false">
      <c r="A622" s="9" t="s">
        <v>220</v>
      </c>
      <c r="B622" s="11" t="s">
        <v>122</v>
      </c>
      <c r="C622" s="11" t="s">
        <v>320</v>
      </c>
      <c r="D622" s="27" t="str">
        <f aca="false">IF('TEa input'!Y44="","",'TEa input'!Y44)</f>
        <v/>
      </c>
      <c r="E622" s="28" t="str">
        <f aca="false">IF(D622="","",MIN(Sigma!AJ84:AJ85))</f>
        <v/>
      </c>
    </row>
    <row r="623" customFormat="false" ht="15" hidden="false" customHeight="true" outlineLevel="0" collapsed="false">
      <c r="A623" s="9" t="s">
        <v>220</v>
      </c>
      <c r="B623" s="11" t="s">
        <v>122</v>
      </c>
      <c r="C623" s="11" t="s">
        <v>321</v>
      </c>
      <c r="D623" s="27" t="str">
        <f aca="false">IF('TEa input'!Z44="","",'TEa input'!Z44)</f>
        <v/>
      </c>
      <c r="E623" s="28" t="str">
        <f aca="false">IF(D623="","",MIN(Sigma!AK84:AK85))</f>
        <v/>
      </c>
    </row>
    <row r="624" customFormat="false" ht="15" hidden="false" customHeight="true" outlineLevel="0" collapsed="false">
      <c r="A624" s="9" t="s">
        <v>220</v>
      </c>
      <c r="B624" s="11" t="s">
        <v>122</v>
      </c>
      <c r="C624" s="11" t="s">
        <v>322</v>
      </c>
      <c r="D624" s="27" t="str">
        <f aca="false">IF('TEa input'!AA44="","",'TEa input'!AA44)</f>
        <v/>
      </c>
      <c r="E624" s="28" t="str">
        <f aca="false">IF(D624="","",MIN(Sigma!AL84:AL85))</f>
        <v/>
      </c>
    </row>
    <row r="625" customFormat="false" ht="15" hidden="false" customHeight="true" outlineLevel="0" collapsed="false">
      <c r="A625" s="9" t="s">
        <v>220</v>
      </c>
      <c r="B625" s="11" t="s">
        <v>122</v>
      </c>
      <c r="C625" s="11" t="s">
        <v>323</v>
      </c>
      <c r="D625" s="27" t="str">
        <f aca="false">IF('TEa input'!AB44="","",'TEa input'!AB44)</f>
        <v/>
      </c>
      <c r="E625" s="28" t="str">
        <f aca="false">IF(D625="","",MIN(Sigma!AM84:AM85))</f>
        <v/>
      </c>
    </row>
    <row r="626" customFormat="false" ht="15" hidden="false" customHeight="true" outlineLevel="0" collapsed="false">
      <c r="A626" s="9" t="s">
        <v>220</v>
      </c>
      <c r="B626" s="11" t="s">
        <v>122</v>
      </c>
      <c r="C626" s="11" t="s">
        <v>324</v>
      </c>
      <c r="D626" s="27" t="str">
        <f aca="false">IF('TEa input'!AC44="","",'TEa input'!AC44)</f>
        <v/>
      </c>
      <c r="E626" s="28" t="str">
        <f aca="false">IF(D626="","",MIN(Sigma!AN84:AN85))</f>
        <v/>
      </c>
    </row>
    <row r="627" customFormat="false" ht="15" hidden="false" customHeight="true" outlineLevel="0" collapsed="false">
      <c r="A627" s="9" t="s">
        <v>220</v>
      </c>
      <c r="B627" s="11" t="s">
        <v>122</v>
      </c>
      <c r="C627" s="11" t="s">
        <v>325</v>
      </c>
      <c r="D627" s="27" t="str">
        <f aca="false">IF('TEa input'!AD44="","",'TEa input'!AD44)</f>
        <v/>
      </c>
      <c r="E627" s="28" t="str">
        <f aca="false">IF(D627="","",MIN(Sigma!AO84:AO85))</f>
        <v/>
      </c>
    </row>
    <row r="628" customFormat="false" ht="15" hidden="false" customHeight="true" outlineLevel="0" collapsed="false">
      <c r="A628" s="9" t="s">
        <v>220</v>
      </c>
      <c r="B628" s="11" t="s">
        <v>122</v>
      </c>
      <c r="C628" s="29" t="str">
        <f aca="false">IF('TEa input'!AE44="","Other",'TEa input'!AE44)</f>
        <v>Other</v>
      </c>
      <c r="D628" s="27" t="str">
        <f aca="false">IF('TEa input'!AF44="","",'TEa input'!AF44)</f>
        <v/>
      </c>
      <c r="E628" s="28" t="str">
        <f aca="false">IF(D628="","",MIN(Sigma!AP84:AP85))</f>
        <v/>
      </c>
    </row>
    <row r="629" customFormat="false" ht="15" hidden="false" customHeight="true" outlineLevel="0" collapsed="false">
      <c r="A629" s="9" t="s">
        <v>222</v>
      </c>
      <c r="B629" s="11" t="s">
        <v>122</v>
      </c>
      <c r="C629" s="11" t="s">
        <v>26</v>
      </c>
      <c r="D629" s="27" t="str">
        <f aca="false">IF('TEa input'!E45="","",'TEa input'!E45)</f>
        <v/>
      </c>
      <c r="E629" s="28" t="str">
        <f aca="false">IF(D629="","",MIN(Sigma!AA86:AA87))</f>
        <v/>
      </c>
    </row>
    <row r="630" customFormat="false" ht="15" hidden="false" customHeight="true" outlineLevel="0" collapsed="false">
      <c r="A630" s="9" t="s">
        <v>222</v>
      </c>
      <c r="B630" s="11" t="s">
        <v>122</v>
      </c>
      <c r="C630" s="11" t="s">
        <v>27</v>
      </c>
      <c r="D630" s="27" t="n">
        <f aca="false">IF('TEa input'!G45="","",'TEa input'!G45)</f>
        <v>20</v>
      </c>
      <c r="E630" s="28" t="n">
        <f aca="false">IF(D630="","",MIN(Sigma!AB86:AB87))</f>
        <v>7.09090909090909</v>
      </c>
    </row>
    <row r="631" customFormat="false" ht="15" hidden="false" customHeight="true" outlineLevel="0" collapsed="false">
      <c r="A631" s="9" t="s">
        <v>222</v>
      </c>
      <c r="B631" s="11" t="s">
        <v>122</v>
      </c>
      <c r="C631" s="11" t="s">
        <v>28</v>
      </c>
      <c r="D631" s="27" t="n">
        <f aca="false">IF('TEa input'!I45="","",'TEa input'!I45)</f>
        <v>9</v>
      </c>
      <c r="E631" s="28" t="n">
        <f aca="false">IF(D631="","",MIN(Sigma!AC86:AC87))</f>
        <v>3.16934046345811</v>
      </c>
    </row>
    <row r="632" customFormat="false" ht="15" hidden="false" customHeight="true" outlineLevel="0" collapsed="false">
      <c r="A632" s="9" t="s">
        <v>222</v>
      </c>
      <c r="B632" s="11" t="s">
        <v>122</v>
      </c>
      <c r="C632" s="11" t="s">
        <v>29</v>
      </c>
      <c r="D632" s="27" t="str">
        <f aca="false">IF('TEa input'!K45="","",'TEa input'!K45)</f>
        <v/>
      </c>
      <c r="E632" s="28" t="str">
        <f aca="false">IF(D632="","",MIN(Sigma!AD86:AD87))</f>
        <v/>
      </c>
    </row>
    <row r="633" customFormat="false" ht="15" hidden="false" customHeight="true" outlineLevel="0" collapsed="false">
      <c r="A633" s="9" t="s">
        <v>222</v>
      </c>
      <c r="B633" s="11" t="s">
        <v>122</v>
      </c>
      <c r="C633" s="11" t="s">
        <v>30</v>
      </c>
      <c r="D633" s="27" t="n">
        <f aca="false">IF('TEa input'!M45="","",'TEa input'!M45)</f>
        <v>10</v>
      </c>
      <c r="E633" s="28" t="n">
        <f aca="false">IF(D633="","",MIN(Sigma!AE86:AE87))</f>
        <v>3.52584670231729</v>
      </c>
    </row>
    <row r="634" customFormat="false" ht="15" hidden="false" customHeight="true" outlineLevel="0" collapsed="false">
      <c r="A634" s="9" t="s">
        <v>222</v>
      </c>
      <c r="B634" s="11" t="s">
        <v>122</v>
      </c>
      <c r="C634" s="11" t="s">
        <v>31</v>
      </c>
      <c r="D634" s="27" t="str">
        <f aca="false">IF('TEa input'!O45="","",'TEa input'!O45)</f>
        <v/>
      </c>
      <c r="E634" s="28" t="str">
        <f aca="false">IF(D634="","",MIN(Sigma!AF86:AF87))</f>
        <v/>
      </c>
    </row>
    <row r="635" customFormat="false" ht="15" hidden="false" customHeight="true" outlineLevel="0" collapsed="false">
      <c r="A635" s="9" t="s">
        <v>222</v>
      </c>
      <c r="B635" s="11" t="s">
        <v>122</v>
      </c>
      <c r="C635" s="11" t="s">
        <v>32</v>
      </c>
      <c r="D635" s="27" t="str">
        <f aca="false">IF('TEa input'!Q45="","",'TEa input'!Q45)</f>
        <v/>
      </c>
      <c r="E635" s="28" t="str">
        <f aca="false">IF(D635="","",MIN(Sigma!AG86:AG87))</f>
        <v/>
      </c>
    </row>
    <row r="636" customFormat="false" ht="15" hidden="false" customHeight="true" outlineLevel="0" collapsed="false">
      <c r="A636" s="9" t="s">
        <v>222</v>
      </c>
      <c r="B636" s="11" t="s">
        <v>122</v>
      </c>
      <c r="C636" s="11" t="s">
        <v>33</v>
      </c>
      <c r="D636" s="27" t="str">
        <f aca="false">IF('TEa input'!R45="","",'TEa input'!R45)</f>
        <v/>
      </c>
      <c r="E636" s="28" t="str">
        <f aca="false">IF(D636="","",MIN(Sigma!AH86:AH87))</f>
        <v/>
      </c>
    </row>
    <row r="637" customFormat="false" ht="15" hidden="false" customHeight="true" outlineLevel="0" collapsed="false">
      <c r="A637" s="9" t="s">
        <v>222</v>
      </c>
      <c r="B637" s="11" t="s">
        <v>122</v>
      </c>
      <c r="C637" s="11" t="s">
        <v>34</v>
      </c>
      <c r="D637" s="27" t="str">
        <f aca="false">IF('TEa input'!T45="","",'TEa input'!T45)</f>
        <v/>
      </c>
      <c r="E637" s="28" t="str">
        <f aca="false">IF(D637="","",MIN(Sigma!AI86:AI87))</f>
        <v/>
      </c>
    </row>
    <row r="638" customFormat="false" ht="15" hidden="false" customHeight="true" outlineLevel="0" collapsed="false">
      <c r="A638" s="9" t="s">
        <v>222</v>
      </c>
      <c r="B638" s="11" t="s">
        <v>122</v>
      </c>
      <c r="C638" s="11" t="s">
        <v>320</v>
      </c>
      <c r="D638" s="27" t="str">
        <f aca="false">IF('TEa input'!Y45="","",'TEa input'!Y45)</f>
        <v/>
      </c>
      <c r="E638" s="28" t="str">
        <f aca="false">IF(D638="","",MIN(Sigma!AJ86:AJ87))</f>
        <v/>
      </c>
    </row>
    <row r="639" customFormat="false" ht="15" hidden="false" customHeight="true" outlineLevel="0" collapsed="false">
      <c r="A639" s="9" t="s">
        <v>222</v>
      </c>
      <c r="B639" s="11" t="s">
        <v>122</v>
      </c>
      <c r="C639" s="11" t="s">
        <v>321</v>
      </c>
      <c r="D639" s="27" t="str">
        <f aca="false">IF('TEa input'!Z45="","",'TEa input'!Z45)</f>
        <v/>
      </c>
      <c r="E639" s="28" t="str">
        <f aca="false">IF(D639="","",MIN(Sigma!AK86:AK87))</f>
        <v/>
      </c>
    </row>
    <row r="640" customFormat="false" ht="15" hidden="false" customHeight="true" outlineLevel="0" collapsed="false">
      <c r="A640" s="9" t="s">
        <v>222</v>
      </c>
      <c r="B640" s="11" t="s">
        <v>122</v>
      </c>
      <c r="C640" s="11" t="s">
        <v>322</v>
      </c>
      <c r="D640" s="27" t="str">
        <f aca="false">IF('TEa input'!AA45="","",'TEa input'!AA45)</f>
        <v/>
      </c>
      <c r="E640" s="28" t="str">
        <f aca="false">IF(D640="","",MIN(Sigma!AL86:AL87))</f>
        <v/>
      </c>
    </row>
    <row r="641" customFormat="false" ht="15" hidden="false" customHeight="true" outlineLevel="0" collapsed="false">
      <c r="A641" s="9" t="s">
        <v>222</v>
      </c>
      <c r="B641" s="11" t="s">
        <v>122</v>
      </c>
      <c r="C641" s="11" t="s">
        <v>323</v>
      </c>
      <c r="D641" s="27" t="str">
        <f aca="false">IF('TEa input'!AB45="","",'TEa input'!AB45)</f>
        <v/>
      </c>
      <c r="E641" s="28" t="str">
        <f aca="false">IF(D641="","",MIN(Sigma!AM86:AM87))</f>
        <v/>
      </c>
    </row>
    <row r="642" customFormat="false" ht="15" hidden="false" customHeight="true" outlineLevel="0" collapsed="false">
      <c r="A642" s="9" t="s">
        <v>222</v>
      </c>
      <c r="B642" s="11" t="s">
        <v>122</v>
      </c>
      <c r="C642" s="11" t="s">
        <v>324</v>
      </c>
      <c r="D642" s="27" t="str">
        <f aca="false">IF('TEa input'!AC45="","",'TEa input'!AC45)</f>
        <v/>
      </c>
      <c r="E642" s="28" t="str">
        <f aca="false">IF(D642="","",MIN(Sigma!AN86:AN87))</f>
        <v/>
      </c>
    </row>
    <row r="643" customFormat="false" ht="15" hidden="false" customHeight="true" outlineLevel="0" collapsed="false">
      <c r="A643" s="9" t="s">
        <v>222</v>
      </c>
      <c r="B643" s="11" t="s">
        <v>122</v>
      </c>
      <c r="C643" s="11" t="s">
        <v>325</v>
      </c>
      <c r="D643" s="27" t="str">
        <f aca="false">IF('TEa input'!AD45="","",'TEa input'!AD45)</f>
        <v/>
      </c>
      <c r="E643" s="28" t="str">
        <f aca="false">IF(D643="","",MIN(Sigma!AO86:AO87))</f>
        <v/>
      </c>
    </row>
    <row r="644" customFormat="false" ht="15" hidden="false" customHeight="true" outlineLevel="0" collapsed="false">
      <c r="A644" s="9" t="s">
        <v>222</v>
      </c>
      <c r="B644" s="11" t="s">
        <v>122</v>
      </c>
      <c r="C644" s="29" t="str">
        <f aca="false">IF('TEa input'!AE45="","Other",'TEa input'!AE45)</f>
        <v>Other</v>
      </c>
      <c r="D644" s="27" t="str">
        <f aca="false">IF('TEa input'!AF45="","",'TEa input'!AF45)</f>
        <v/>
      </c>
      <c r="E644" s="28" t="str">
        <f aca="false">IF(D644="","",MIN(Sigma!AP86:AP87))</f>
        <v/>
      </c>
    </row>
    <row r="645" customFormat="false" ht="15" hidden="false" customHeight="true" outlineLevel="0" collapsed="false">
      <c r="A645" s="9" t="s">
        <v>225</v>
      </c>
      <c r="B645" s="11" t="s">
        <v>122</v>
      </c>
      <c r="C645" s="11" t="s">
        <v>26</v>
      </c>
      <c r="D645" s="27" t="str">
        <f aca="false">IF('TEa input'!E46="","",'TEa input'!E46)</f>
        <v/>
      </c>
      <c r="E645" s="28" t="str">
        <f aca="false">IF(D645="","",MIN(Sigma!AA88:AA89))</f>
        <v/>
      </c>
    </row>
    <row r="646" customFormat="false" ht="15" hidden="false" customHeight="true" outlineLevel="0" collapsed="false">
      <c r="A646" s="9" t="s">
        <v>225</v>
      </c>
      <c r="B646" s="11" t="s">
        <v>122</v>
      </c>
      <c r="C646" s="11" t="s">
        <v>27</v>
      </c>
      <c r="D646" s="27" t="str">
        <f aca="false">IF('TEa input'!G46="","",'TEa input'!G46)</f>
        <v/>
      </c>
      <c r="E646" s="28" t="str">
        <f aca="false">IF(D646="","",MIN(Sigma!AB88:AB89))</f>
        <v/>
      </c>
    </row>
    <row r="647" customFormat="false" ht="15" hidden="false" customHeight="true" outlineLevel="0" collapsed="false">
      <c r="A647" s="9" t="s">
        <v>225</v>
      </c>
      <c r="B647" s="11" t="s">
        <v>122</v>
      </c>
      <c r="C647" s="11" t="s">
        <v>28</v>
      </c>
      <c r="D647" s="27" t="str">
        <f aca="false">IF('TEa input'!I46="","",'TEa input'!I46)</f>
        <v/>
      </c>
      <c r="E647" s="28" t="str">
        <f aca="false">IF(D647="","",MIN(Sigma!AC88:AC89))</f>
        <v/>
      </c>
    </row>
    <row r="648" customFormat="false" ht="15" hidden="false" customHeight="true" outlineLevel="0" collapsed="false">
      <c r="A648" s="9" t="s">
        <v>225</v>
      </c>
      <c r="B648" s="11" t="s">
        <v>122</v>
      </c>
      <c r="C648" s="11" t="s">
        <v>29</v>
      </c>
      <c r="D648" s="27" t="str">
        <f aca="false">IF('TEa input'!K46="","",'TEa input'!K46)</f>
        <v/>
      </c>
      <c r="E648" s="28" t="str">
        <f aca="false">IF(D648="","",MIN(Sigma!AD88:AD89))</f>
        <v/>
      </c>
    </row>
    <row r="649" customFormat="false" ht="15" hidden="false" customHeight="true" outlineLevel="0" collapsed="false">
      <c r="A649" s="9" t="s">
        <v>225</v>
      </c>
      <c r="B649" s="11" t="s">
        <v>122</v>
      </c>
      <c r="C649" s="11" t="s">
        <v>30</v>
      </c>
      <c r="D649" s="27" t="n">
        <f aca="false">IF('TEa input'!M46="","",'TEa input'!M46)</f>
        <v>10</v>
      </c>
      <c r="E649" s="28" t="n">
        <f aca="false">IF(D649="","",MIN(Sigma!AE88:AE89))</f>
        <v>3.42066027689031</v>
      </c>
    </row>
    <row r="650" customFormat="false" ht="15" hidden="false" customHeight="true" outlineLevel="0" collapsed="false">
      <c r="A650" s="9" t="s">
        <v>225</v>
      </c>
      <c r="B650" s="11" t="s">
        <v>122</v>
      </c>
      <c r="C650" s="11" t="s">
        <v>31</v>
      </c>
      <c r="D650" s="27" t="str">
        <f aca="false">IF('TEa input'!O46="","",'TEa input'!O46)</f>
        <v/>
      </c>
      <c r="E650" s="28" t="str">
        <f aca="false">IF(D650="","",MIN(Sigma!AF88:AF89))</f>
        <v/>
      </c>
    </row>
    <row r="651" customFormat="false" ht="15" hidden="false" customHeight="true" outlineLevel="0" collapsed="false">
      <c r="A651" s="9" t="s">
        <v>225</v>
      </c>
      <c r="B651" s="11" t="s">
        <v>122</v>
      </c>
      <c r="C651" s="11" t="s">
        <v>32</v>
      </c>
      <c r="D651" s="27" t="str">
        <f aca="false">IF('TEa input'!Q46="","",'TEa input'!Q46)</f>
        <v/>
      </c>
      <c r="E651" s="28" t="str">
        <f aca="false">IF(D651="","",MIN(Sigma!AG88:AG89))</f>
        <v/>
      </c>
    </row>
    <row r="652" customFormat="false" ht="15" hidden="false" customHeight="true" outlineLevel="0" collapsed="false">
      <c r="A652" s="9" t="s">
        <v>225</v>
      </c>
      <c r="B652" s="11" t="s">
        <v>122</v>
      </c>
      <c r="C652" s="11" t="s">
        <v>33</v>
      </c>
      <c r="D652" s="27" t="str">
        <f aca="false">IF('TEa input'!R46="","",'TEa input'!R46)</f>
        <v/>
      </c>
      <c r="E652" s="28" t="str">
        <f aca="false">IF(D652="","",MIN(Sigma!AH88:AH89))</f>
        <v/>
      </c>
    </row>
    <row r="653" customFormat="false" ht="15" hidden="false" customHeight="true" outlineLevel="0" collapsed="false">
      <c r="A653" s="9" t="s">
        <v>225</v>
      </c>
      <c r="B653" s="11" t="s">
        <v>122</v>
      </c>
      <c r="C653" s="11" t="s">
        <v>34</v>
      </c>
      <c r="D653" s="27" t="str">
        <f aca="false">IF('TEa input'!T46="","",'TEa input'!T46)</f>
        <v/>
      </c>
      <c r="E653" s="28" t="str">
        <f aca="false">IF(D653="","",MIN(Sigma!AI88:AI89))</f>
        <v/>
      </c>
    </row>
    <row r="654" customFormat="false" ht="15" hidden="false" customHeight="true" outlineLevel="0" collapsed="false">
      <c r="A654" s="9" t="s">
        <v>225</v>
      </c>
      <c r="B654" s="11" t="s">
        <v>122</v>
      </c>
      <c r="C654" s="11" t="s">
        <v>320</v>
      </c>
      <c r="D654" s="27" t="str">
        <f aca="false">IF('TEa input'!Y46="","",'TEa input'!Y46)</f>
        <v/>
      </c>
      <c r="E654" s="28" t="str">
        <f aca="false">IF(D654="","",MIN(Sigma!AJ88:AJ89))</f>
        <v/>
      </c>
    </row>
    <row r="655" customFormat="false" ht="15" hidden="false" customHeight="true" outlineLevel="0" collapsed="false">
      <c r="A655" s="9" t="s">
        <v>225</v>
      </c>
      <c r="B655" s="11" t="s">
        <v>122</v>
      </c>
      <c r="C655" s="11" t="s">
        <v>321</v>
      </c>
      <c r="D655" s="27" t="str">
        <f aca="false">IF('TEa input'!Z46="","",'TEa input'!Z46)</f>
        <v/>
      </c>
      <c r="E655" s="28" t="str">
        <f aca="false">IF(D655="","",MIN(Sigma!AK88:AK89))</f>
        <v/>
      </c>
    </row>
    <row r="656" customFormat="false" ht="15" hidden="false" customHeight="true" outlineLevel="0" collapsed="false">
      <c r="A656" s="9" t="s">
        <v>225</v>
      </c>
      <c r="B656" s="11" t="s">
        <v>122</v>
      </c>
      <c r="C656" s="11" t="s">
        <v>322</v>
      </c>
      <c r="D656" s="27" t="str">
        <f aca="false">IF('TEa input'!AA46="","",'TEa input'!AA46)</f>
        <v/>
      </c>
      <c r="E656" s="28" t="str">
        <f aca="false">IF(D656="","",MIN(Sigma!AL88:AL89))</f>
        <v/>
      </c>
    </row>
    <row r="657" customFormat="false" ht="15" hidden="false" customHeight="true" outlineLevel="0" collapsed="false">
      <c r="A657" s="9" t="s">
        <v>225</v>
      </c>
      <c r="B657" s="11" t="s">
        <v>122</v>
      </c>
      <c r="C657" s="11" t="s">
        <v>323</v>
      </c>
      <c r="D657" s="27" t="str">
        <f aca="false">IF('TEa input'!AB46="","",'TEa input'!AB46)</f>
        <v/>
      </c>
      <c r="E657" s="28" t="str">
        <f aca="false">IF(D657="","",MIN(Sigma!AM88:AM89))</f>
        <v/>
      </c>
    </row>
    <row r="658" customFormat="false" ht="15" hidden="false" customHeight="true" outlineLevel="0" collapsed="false">
      <c r="A658" s="9" t="s">
        <v>225</v>
      </c>
      <c r="B658" s="11" t="s">
        <v>122</v>
      </c>
      <c r="C658" s="11" t="s">
        <v>324</v>
      </c>
      <c r="D658" s="27" t="str">
        <f aca="false">IF('TEa input'!AC46="","",'TEa input'!AC46)</f>
        <v/>
      </c>
      <c r="E658" s="28" t="str">
        <f aca="false">IF(D658="","",MIN(Sigma!AN88:AN89))</f>
        <v/>
      </c>
    </row>
    <row r="659" customFormat="false" ht="15" hidden="false" customHeight="true" outlineLevel="0" collapsed="false">
      <c r="A659" s="9" t="s">
        <v>225</v>
      </c>
      <c r="B659" s="11" t="s">
        <v>122</v>
      </c>
      <c r="C659" s="11" t="s">
        <v>325</v>
      </c>
      <c r="D659" s="27" t="str">
        <f aca="false">IF('TEa input'!AD46="","",'TEa input'!AD46)</f>
        <v/>
      </c>
      <c r="E659" s="28" t="str">
        <f aca="false">IF(D659="","",MIN(Sigma!AO88:AO89))</f>
        <v/>
      </c>
    </row>
    <row r="660" customFormat="false" ht="15" hidden="false" customHeight="true" outlineLevel="0" collapsed="false">
      <c r="A660" s="9" t="s">
        <v>225</v>
      </c>
      <c r="B660" s="11" t="s">
        <v>122</v>
      </c>
      <c r="C660" s="29" t="str">
        <f aca="false">IF('TEa input'!AE46="","Other",'TEa input'!AE46)</f>
        <v>Other</v>
      </c>
      <c r="D660" s="27" t="str">
        <f aca="false">IF('TEa input'!AF46="","",'TEa input'!AF46)</f>
        <v/>
      </c>
      <c r="E660" s="28" t="str">
        <f aca="false">IF(D660="","",MIN(Sigma!AP88:AP89))</f>
        <v/>
      </c>
    </row>
    <row r="661" customFormat="false" ht="15" hidden="false" customHeight="true" outlineLevel="0" collapsed="false">
      <c r="A661" s="9" t="s">
        <v>228</v>
      </c>
      <c r="B661" s="11" t="s">
        <v>122</v>
      </c>
      <c r="C661" s="11" t="s">
        <v>26</v>
      </c>
      <c r="D661" s="27" t="str">
        <f aca="false">IF('TEa input'!E47="","",'TEa input'!E47)</f>
        <v/>
      </c>
      <c r="E661" s="28" t="str">
        <f aca="false">IF(D661="","",MIN(Sigma!AA90:AA91))</f>
        <v/>
      </c>
    </row>
    <row r="662" customFormat="false" ht="15" hidden="false" customHeight="true" outlineLevel="0" collapsed="false">
      <c r="A662" s="9" t="s">
        <v>228</v>
      </c>
      <c r="B662" s="11" t="s">
        <v>122</v>
      </c>
      <c r="C662" s="11" t="s">
        <v>27</v>
      </c>
      <c r="D662" s="27" t="n">
        <f aca="false">IF('TEa input'!G47="","",'TEa input'!G47)</f>
        <v>15</v>
      </c>
      <c r="E662" s="28" t="n">
        <f aca="false">IF(D662="","",MIN(Sigma!AB90:AB91))</f>
        <v>5.50683890577508</v>
      </c>
    </row>
    <row r="663" customFormat="false" ht="15" hidden="false" customHeight="true" outlineLevel="0" collapsed="false">
      <c r="A663" s="9" t="s">
        <v>228</v>
      </c>
      <c r="B663" s="11" t="s">
        <v>122</v>
      </c>
      <c r="C663" s="11" t="s">
        <v>28</v>
      </c>
      <c r="D663" s="27" t="n">
        <f aca="false">IF('TEa input'!I47="","",'TEa input'!I47)</f>
        <v>6</v>
      </c>
      <c r="E663" s="28" t="n">
        <f aca="false">IF(D663="","",MIN(Sigma!AC90:AC91))</f>
        <v>2.08738601823708</v>
      </c>
    </row>
    <row r="664" customFormat="false" ht="15" hidden="false" customHeight="true" outlineLevel="0" collapsed="false">
      <c r="A664" s="9" t="s">
        <v>228</v>
      </c>
      <c r="B664" s="11" t="s">
        <v>122</v>
      </c>
      <c r="C664" s="11" t="s">
        <v>29</v>
      </c>
      <c r="D664" s="27" t="str">
        <f aca="false">IF('TEa input'!K47="","",'TEa input'!K47)</f>
        <v/>
      </c>
      <c r="E664" s="28" t="str">
        <f aca="false">IF(D664="","",MIN(Sigma!AD90:AD91))</f>
        <v/>
      </c>
    </row>
    <row r="665" customFormat="false" ht="15" hidden="false" customHeight="true" outlineLevel="0" collapsed="false">
      <c r="A665" s="9" t="s">
        <v>228</v>
      </c>
      <c r="B665" s="11" t="s">
        <v>122</v>
      </c>
      <c r="C665" s="11" t="s">
        <v>30</v>
      </c>
      <c r="D665" s="27" t="n">
        <f aca="false">IF('TEa input'!M47="","",'TEa input'!M47)</f>
        <v>10</v>
      </c>
      <c r="E665" s="28" t="n">
        <f aca="false">IF(D665="","",MIN(Sigma!AE90:AE91))</f>
        <v>3.60714285714286</v>
      </c>
    </row>
    <row r="666" customFormat="false" ht="15" hidden="false" customHeight="true" outlineLevel="0" collapsed="false">
      <c r="A666" s="9" t="s">
        <v>228</v>
      </c>
      <c r="B666" s="11" t="s">
        <v>122</v>
      </c>
      <c r="C666" s="11" t="s">
        <v>31</v>
      </c>
      <c r="D666" s="27" t="str">
        <f aca="false">IF('TEa input'!O47="","",'TEa input'!O47)</f>
        <v/>
      </c>
      <c r="E666" s="28" t="str">
        <f aca="false">IF(D666="","",MIN(Sigma!AF90:AF91))</f>
        <v/>
      </c>
    </row>
    <row r="667" customFormat="false" ht="15" hidden="false" customHeight="true" outlineLevel="0" collapsed="false">
      <c r="A667" s="9" t="s">
        <v>228</v>
      </c>
      <c r="B667" s="11" t="s">
        <v>122</v>
      </c>
      <c r="C667" s="11" t="s">
        <v>32</v>
      </c>
      <c r="D667" s="27" t="n">
        <f aca="false">IF('TEa input'!Q47="","",'TEa input'!Q47)</f>
        <v>12</v>
      </c>
      <c r="E667" s="28" t="n">
        <f aca="false">IF(D667="","",MIN(Sigma!AG90:AG91))</f>
        <v>4.36702127659575</v>
      </c>
    </row>
    <row r="668" customFormat="false" ht="15" hidden="false" customHeight="true" outlineLevel="0" collapsed="false">
      <c r="A668" s="9" t="s">
        <v>228</v>
      </c>
      <c r="B668" s="11" t="s">
        <v>122</v>
      </c>
      <c r="C668" s="11" t="s">
        <v>33</v>
      </c>
      <c r="D668" s="27" t="str">
        <f aca="false">IF('TEa input'!R47="","",'TEa input'!R47)</f>
        <v/>
      </c>
      <c r="E668" s="28" t="str">
        <f aca="false">IF(D668="","",MIN(Sigma!AH90:AH91))</f>
        <v/>
      </c>
    </row>
    <row r="669" customFormat="false" ht="15" hidden="false" customHeight="true" outlineLevel="0" collapsed="false">
      <c r="A669" s="9" t="s">
        <v>228</v>
      </c>
      <c r="B669" s="11" t="s">
        <v>122</v>
      </c>
      <c r="C669" s="11" t="s">
        <v>34</v>
      </c>
      <c r="D669" s="27" t="str">
        <f aca="false">IF('TEa input'!T47="","",'TEa input'!T47)</f>
        <v/>
      </c>
      <c r="E669" s="28" t="str">
        <f aca="false">IF(D669="","",MIN(Sigma!AI90:AI91))</f>
        <v/>
      </c>
    </row>
    <row r="670" customFormat="false" ht="15" hidden="false" customHeight="true" outlineLevel="0" collapsed="false">
      <c r="A670" s="9" t="s">
        <v>228</v>
      </c>
      <c r="B670" s="11" t="s">
        <v>122</v>
      </c>
      <c r="C670" s="11" t="s">
        <v>320</v>
      </c>
      <c r="D670" s="27" t="str">
        <f aca="false">IF('TEa input'!Y47="","",'TEa input'!Y47)</f>
        <v/>
      </c>
      <c r="E670" s="28" t="str">
        <f aca="false">IF(D670="","",MIN(Sigma!AJ90:AJ91))</f>
        <v/>
      </c>
    </row>
    <row r="671" customFormat="false" ht="15" hidden="false" customHeight="true" outlineLevel="0" collapsed="false">
      <c r="A671" s="9" t="s">
        <v>228</v>
      </c>
      <c r="B671" s="11" t="s">
        <v>122</v>
      </c>
      <c r="C671" s="11" t="s">
        <v>321</v>
      </c>
      <c r="D671" s="27" t="str">
        <f aca="false">IF('TEa input'!Z47="","",'TEa input'!Z47)</f>
        <v/>
      </c>
      <c r="E671" s="28" t="str">
        <f aca="false">IF(D671="","",MIN(Sigma!AK90:AK91))</f>
        <v/>
      </c>
    </row>
    <row r="672" customFormat="false" ht="15" hidden="false" customHeight="true" outlineLevel="0" collapsed="false">
      <c r="A672" s="9" t="s">
        <v>228</v>
      </c>
      <c r="B672" s="11" t="s">
        <v>122</v>
      </c>
      <c r="C672" s="11" t="s">
        <v>322</v>
      </c>
      <c r="D672" s="27" t="str">
        <f aca="false">IF('TEa input'!AA47="","",'TEa input'!AA47)</f>
        <v/>
      </c>
      <c r="E672" s="28" t="str">
        <f aca="false">IF(D672="","",MIN(Sigma!AL90:AL91))</f>
        <v/>
      </c>
    </row>
    <row r="673" customFormat="false" ht="15" hidden="false" customHeight="true" outlineLevel="0" collapsed="false">
      <c r="A673" s="9" t="s">
        <v>228</v>
      </c>
      <c r="B673" s="11" t="s">
        <v>122</v>
      </c>
      <c r="C673" s="11" t="s">
        <v>323</v>
      </c>
      <c r="D673" s="27" t="str">
        <f aca="false">IF('TEa input'!AB47="","",'TEa input'!AB47)</f>
        <v/>
      </c>
      <c r="E673" s="28" t="str">
        <f aca="false">IF(D673="","",MIN(Sigma!AM90:AM91))</f>
        <v/>
      </c>
    </row>
    <row r="674" customFormat="false" ht="15" hidden="false" customHeight="true" outlineLevel="0" collapsed="false">
      <c r="A674" s="9" t="s">
        <v>228</v>
      </c>
      <c r="B674" s="11" t="s">
        <v>122</v>
      </c>
      <c r="C674" s="11" t="s">
        <v>324</v>
      </c>
      <c r="D674" s="27" t="str">
        <f aca="false">IF('TEa input'!AC47="","",'TEa input'!AC47)</f>
        <v/>
      </c>
      <c r="E674" s="28" t="str">
        <f aca="false">IF(D674="","",MIN(Sigma!AN90:AN91))</f>
        <v/>
      </c>
    </row>
    <row r="675" customFormat="false" ht="15" hidden="false" customHeight="true" outlineLevel="0" collapsed="false">
      <c r="A675" s="9" t="s">
        <v>228</v>
      </c>
      <c r="B675" s="11" t="s">
        <v>122</v>
      </c>
      <c r="C675" s="11" t="s">
        <v>325</v>
      </c>
      <c r="D675" s="27" t="str">
        <f aca="false">IF('TEa input'!AD47="","",'TEa input'!AD47)</f>
        <v/>
      </c>
      <c r="E675" s="28" t="str">
        <f aca="false">IF(D675="","",MIN(Sigma!AO90:AO91))</f>
        <v/>
      </c>
    </row>
    <row r="676" customFormat="false" ht="15" hidden="false" customHeight="true" outlineLevel="0" collapsed="false">
      <c r="A676" s="9" t="s">
        <v>228</v>
      </c>
      <c r="B676" s="11" t="s">
        <v>122</v>
      </c>
      <c r="C676" s="29" t="str">
        <f aca="false">IF('TEa input'!AE47="","Other",'TEa input'!AE47)</f>
        <v>Other</v>
      </c>
      <c r="D676" s="27" t="str">
        <f aca="false">IF('TEa input'!AF47="","",'TEa input'!AF47)</f>
        <v/>
      </c>
      <c r="E676" s="28" t="str">
        <f aca="false">IF(D676="","",MIN(Sigma!AP90:AP91))</f>
        <v/>
      </c>
    </row>
    <row r="677" customFormat="false" ht="15" hidden="false" customHeight="true" outlineLevel="0" collapsed="false">
      <c r="A677" s="9" t="s">
        <v>232</v>
      </c>
      <c r="B677" s="11" t="s">
        <v>122</v>
      </c>
      <c r="C677" s="11" t="s">
        <v>26</v>
      </c>
      <c r="D677" s="27" t="str">
        <f aca="false">IF('TEa input'!E48="","",'TEa input'!E48)</f>
        <v/>
      </c>
      <c r="E677" s="28" t="str">
        <f aca="false">IF(D677="","",MIN(Sigma!AA92:AA94))</f>
        <v/>
      </c>
    </row>
    <row r="678" customFormat="false" ht="15" hidden="false" customHeight="true" outlineLevel="0" collapsed="false">
      <c r="A678" s="9" t="s">
        <v>232</v>
      </c>
      <c r="B678" s="11" t="s">
        <v>122</v>
      </c>
      <c r="C678" s="11" t="s">
        <v>27</v>
      </c>
      <c r="D678" s="27" t="n">
        <f aca="false">IF('TEa input'!G48="","",'TEa input'!G48)</f>
        <v>25</v>
      </c>
      <c r="E678" s="28" t="n">
        <f aca="false">IF(D678="","",MIN(Sigma!AB92:AB94))</f>
        <v>5.43781753920919</v>
      </c>
    </row>
    <row r="679" customFormat="false" ht="15" hidden="false" customHeight="true" outlineLevel="0" collapsed="false">
      <c r="A679" s="9" t="s">
        <v>232</v>
      </c>
      <c r="B679" s="11" t="s">
        <v>122</v>
      </c>
      <c r="C679" s="11" t="s">
        <v>28</v>
      </c>
      <c r="D679" s="27" t="n">
        <f aca="false">IF('TEa input'!I48="","",'TEa input'!I48)</f>
        <v>25</v>
      </c>
      <c r="E679" s="28" t="n">
        <f aca="false">IF(D679="","",MIN(Sigma!AC92:AC94))</f>
        <v>5.43781753920919</v>
      </c>
    </row>
    <row r="680" customFormat="false" ht="15" hidden="false" customHeight="true" outlineLevel="0" collapsed="false">
      <c r="A680" s="9" t="s">
        <v>232</v>
      </c>
      <c r="B680" s="11" t="s">
        <v>122</v>
      </c>
      <c r="C680" s="11" t="s">
        <v>29</v>
      </c>
      <c r="D680" s="27" t="str">
        <f aca="false">IF('TEa input'!K48="","",'TEa input'!K48)</f>
        <v/>
      </c>
      <c r="E680" s="28" t="str">
        <f aca="false">IF(D680="","",MIN(Sigma!AD92:AD94))</f>
        <v/>
      </c>
    </row>
    <row r="681" customFormat="false" ht="15" hidden="false" customHeight="true" outlineLevel="0" collapsed="false">
      <c r="A681" s="9" t="s">
        <v>232</v>
      </c>
      <c r="B681" s="11" t="s">
        <v>122</v>
      </c>
      <c r="C681" s="11" t="s">
        <v>30</v>
      </c>
      <c r="D681" s="27" t="n">
        <f aca="false">IF('TEa input'!M48="","",'TEa input'!M48)</f>
        <v>10</v>
      </c>
      <c r="E681" s="28" t="n">
        <f aca="false">IF(D681="","",MIN(Sigma!AE92:AE94))</f>
        <v>2.12436492158162</v>
      </c>
    </row>
    <row r="682" customFormat="false" ht="15" hidden="false" customHeight="true" outlineLevel="0" collapsed="false">
      <c r="A682" s="9" t="s">
        <v>232</v>
      </c>
      <c r="B682" s="11" t="s">
        <v>122</v>
      </c>
      <c r="C682" s="11" t="s">
        <v>31</v>
      </c>
      <c r="D682" s="27" t="str">
        <f aca="false">IF('TEa input'!O48="","",'TEa input'!O48)</f>
        <v/>
      </c>
      <c r="E682" s="28" t="str">
        <f aca="false">IF(D682="","",MIN(Sigma!AF92:AF94))</f>
        <v/>
      </c>
    </row>
    <row r="683" customFormat="false" ht="15" hidden="false" customHeight="true" outlineLevel="0" collapsed="false">
      <c r="A683" s="9" t="s">
        <v>232</v>
      </c>
      <c r="B683" s="11" t="s">
        <v>122</v>
      </c>
      <c r="C683" s="11" t="s">
        <v>32</v>
      </c>
      <c r="D683" s="27" t="str">
        <f aca="false">IF('TEa input'!Q48="","",'TEa input'!Q48)</f>
        <v/>
      </c>
      <c r="E683" s="28" t="str">
        <f aca="false">IF(D683="","",MIN(Sigma!AG92:AG94))</f>
        <v/>
      </c>
    </row>
    <row r="684" customFormat="false" ht="15" hidden="false" customHeight="true" outlineLevel="0" collapsed="false">
      <c r="A684" s="9" t="s">
        <v>232</v>
      </c>
      <c r="B684" s="11" t="s">
        <v>122</v>
      </c>
      <c r="C684" s="11" t="s">
        <v>33</v>
      </c>
      <c r="D684" s="27" t="str">
        <f aca="false">IF('TEa input'!R48="","",'TEa input'!R48)</f>
        <v/>
      </c>
      <c r="E684" s="28" t="str">
        <f aca="false">IF(D684="","",MIN(Sigma!AH92:AH94))</f>
        <v/>
      </c>
    </row>
    <row r="685" customFormat="false" ht="15" hidden="false" customHeight="true" outlineLevel="0" collapsed="false">
      <c r="A685" s="9" t="s">
        <v>232</v>
      </c>
      <c r="B685" s="11" t="s">
        <v>122</v>
      </c>
      <c r="C685" s="11" t="s">
        <v>34</v>
      </c>
      <c r="D685" s="27" t="str">
        <f aca="false">IF('TEa input'!T48="","",'TEa input'!T48)</f>
        <v/>
      </c>
      <c r="E685" s="28" t="str">
        <f aca="false">IF(D685="","",MIN(Sigma!AI92:AI94))</f>
        <v/>
      </c>
    </row>
    <row r="686" customFormat="false" ht="15" hidden="false" customHeight="true" outlineLevel="0" collapsed="false">
      <c r="A686" s="9" t="s">
        <v>232</v>
      </c>
      <c r="B686" s="11" t="s">
        <v>122</v>
      </c>
      <c r="C686" s="11" t="s">
        <v>320</v>
      </c>
      <c r="D686" s="27" t="str">
        <f aca="false">IF('TEa input'!Y48="","",'TEa input'!Y48)</f>
        <v/>
      </c>
      <c r="E686" s="28" t="str">
        <f aca="false">IF(D686="","",MIN(Sigma!AJ92:AJ94))</f>
        <v/>
      </c>
    </row>
    <row r="687" customFormat="false" ht="15" hidden="false" customHeight="true" outlineLevel="0" collapsed="false">
      <c r="A687" s="9" t="s">
        <v>232</v>
      </c>
      <c r="B687" s="11" t="s">
        <v>122</v>
      </c>
      <c r="C687" s="11" t="s">
        <v>321</v>
      </c>
      <c r="D687" s="27" t="str">
        <f aca="false">IF('TEa input'!Z48="","",'TEa input'!Z48)</f>
        <v/>
      </c>
      <c r="E687" s="28" t="str">
        <f aca="false">IF(D687="","",MIN(Sigma!AK92:AK94))</f>
        <v/>
      </c>
    </row>
    <row r="688" customFormat="false" ht="15" hidden="false" customHeight="true" outlineLevel="0" collapsed="false">
      <c r="A688" s="9" t="s">
        <v>232</v>
      </c>
      <c r="B688" s="11" t="s">
        <v>122</v>
      </c>
      <c r="C688" s="11" t="s">
        <v>322</v>
      </c>
      <c r="D688" s="27" t="str">
        <f aca="false">IF('TEa input'!AA48="","",'TEa input'!AA48)</f>
        <v/>
      </c>
      <c r="E688" s="28" t="str">
        <f aca="false">IF(D688="","",MIN(Sigma!AL92:AL94))</f>
        <v/>
      </c>
    </row>
    <row r="689" customFormat="false" ht="15" hidden="false" customHeight="true" outlineLevel="0" collapsed="false">
      <c r="A689" s="9" t="s">
        <v>232</v>
      </c>
      <c r="B689" s="11" t="s">
        <v>122</v>
      </c>
      <c r="C689" s="11" t="s">
        <v>323</v>
      </c>
      <c r="D689" s="27" t="str">
        <f aca="false">IF('TEa input'!AB48="","",'TEa input'!AB48)</f>
        <v/>
      </c>
      <c r="E689" s="28" t="str">
        <f aca="false">IF(D689="","",MIN(Sigma!AM92:AM94))</f>
        <v/>
      </c>
    </row>
    <row r="690" customFormat="false" ht="15" hidden="false" customHeight="true" outlineLevel="0" collapsed="false">
      <c r="A690" s="9" t="s">
        <v>232</v>
      </c>
      <c r="B690" s="11" t="s">
        <v>122</v>
      </c>
      <c r="C690" s="11" t="s">
        <v>324</v>
      </c>
      <c r="D690" s="27" t="str">
        <f aca="false">IF('TEa input'!AC48="","",'TEa input'!AC48)</f>
        <v/>
      </c>
      <c r="E690" s="28" t="str">
        <f aca="false">IF(D690="","",MIN(Sigma!AN92:AN94))</f>
        <v/>
      </c>
    </row>
    <row r="691" customFormat="false" ht="15" hidden="false" customHeight="true" outlineLevel="0" collapsed="false">
      <c r="A691" s="9" t="s">
        <v>232</v>
      </c>
      <c r="B691" s="11" t="s">
        <v>122</v>
      </c>
      <c r="C691" s="11" t="s">
        <v>325</v>
      </c>
      <c r="D691" s="27" t="str">
        <f aca="false">IF('TEa input'!AD48="","",'TEa input'!AD48)</f>
        <v/>
      </c>
      <c r="E691" s="28" t="str">
        <f aca="false">IF(D691="","",MIN(Sigma!AO92:AO94))</f>
        <v/>
      </c>
    </row>
    <row r="692" customFormat="false" ht="15" hidden="false" customHeight="true" outlineLevel="0" collapsed="false">
      <c r="A692" s="9" t="s">
        <v>232</v>
      </c>
      <c r="B692" s="11" t="s">
        <v>122</v>
      </c>
      <c r="C692" s="29" t="str">
        <f aca="false">IF('TEa input'!AE48="","Other",'TEa input'!AE48)</f>
        <v>Other</v>
      </c>
      <c r="D692" s="27" t="str">
        <f aca="false">IF('TEa input'!AF48="","",'TEa input'!AF48)</f>
        <v/>
      </c>
      <c r="E692" s="28" t="str">
        <f aca="false">IF(D692="","",MIN(Sigma!AP92:AP94))</f>
        <v/>
      </c>
    </row>
    <row r="693" customFormat="false" ht="15" hidden="false" customHeight="true" outlineLevel="0" collapsed="false">
      <c r="A693" s="9" t="s">
        <v>235</v>
      </c>
      <c r="B693" s="11" t="s">
        <v>122</v>
      </c>
      <c r="C693" s="11" t="s">
        <v>26</v>
      </c>
      <c r="D693" s="27" t="str">
        <f aca="false">IF('TEa input'!E49="","",'TEa input'!E49)</f>
        <v/>
      </c>
      <c r="E693" s="28" t="str">
        <f aca="false">IF(D693="","",MIN(Sigma!AA95:AA97))</f>
        <v/>
      </c>
    </row>
    <row r="694" customFormat="false" ht="15" hidden="false" customHeight="true" outlineLevel="0" collapsed="false">
      <c r="A694" s="9" t="s">
        <v>235</v>
      </c>
      <c r="B694" s="11" t="s">
        <v>122</v>
      </c>
      <c r="C694" s="11" t="s">
        <v>27</v>
      </c>
      <c r="D694" s="27" t="n">
        <f aca="false">IF('TEa input'!G49="","",'TEa input'!G49)</f>
        <v>15</v>
      </c>
      <c r="E694" s="28" t="n">
        <f aca="false">IF(D694="","",MIN(Sigma!AB95:AB97))</f>
        <v>3.77035912999494</v>
      </c>
    </row>
    <row r="695" customFormat="false" ht="15" hidden="false" customHeight="true" outlineLevel="0" collapsed="false">
      <c r="A695" s="9" t="s">
        <v>235</v>
      </c>
      <c r="B695" s="11" t="s">
        <v>122</v>
      </c>
      <c r="C695" s="11" t="s">
        <v>28</v>
      </c>
      <c r="D695" s="27" t="n">
        <f aca="false">IF('TEa input'!I49="","",'TEa input'!I49)</f>
        <v>12</v>
      </c>
      <c r="E695" s="28" t="n">
        <f aca="false">IF(D695="","",MIN(Sigma!AC95:AC97))</f>
        <v>3.01163378856854</v>
      </c>
    </row>
    <row r="696" customFormat="false" ht="15" hidden="false" customHeight="true" outlineLevel="0" collapsed="false">
      <c r="A696" s="9" t="s">
        <v>235</v>
      </c>
      <c r="B696" s="11" t="s">
        <v>122</v>
      </c>
      <c r="C696" s="11" t="s">
        <v>29</v>
      </c>
      <c r="D696" s="27" t="str">
        <f aca="false">IF('TEa input'!K49="","",'TEa input'!K49)</f>
        <v/>
      </c>
      <c r="E696" s="28" t="str">
        <f aca="false">IF(D696="","",MIN(Sigma!AD95:AD97))</f>
        <v/>
      </c>
    </row>
    <row r="697" customFormat="false" ht="15" hidden="false" customHeight="true" outlineLevel="0" collapsed="false">
      <c r="A697" s="9" t="s">
        <v>235</v>
      </c>
      <c r="B697" s="11" t="s">
        <v>122</v>
      </c>
      <c r="C697" s="11" t="s">
        <v>30</v>
      </c>
      <c r="D697" s="27" t="n">
        <f aca="false">IF('TEa input'!M49="","",'TEa input'!M49)</f>
        <v>10</v>
      </c>
      <c r="E697" s="28" t="n">
        <f aca="false">IF(D697="","",MIN(Sigma!AE95:AE97))</f>
        <v>2.50581689428427</v>
      </c>
    </row>
    <row r="698" customFormat="false" ht="15" hidden="false" customHeight="true" outlineLevel="0" collapsed="false">
      <c r="A698" s="9" t="s">
        <v>235</v>
      </c>
      <c r="B698" s="11" t="s">
        <v>122</v>
      </c>
      <c r="C698" s="11" t="s">
        <v>31</v>
      </c>
      <c r="D698" s="27" t="str">
        <f aca="false">IF('TEa input'!O49="","",'TEa input'!O49)</f>
        <v/>
      </c>
      <c r="E698" s="28" t="str">
        <f aca="false">IF(D698="","",MIN(Sigma!AF95:AF97))</f>
        <v/>
      </c>
    </row>
    <row r="699" customFormat="false" ht="15" hidden="false" customHeight="true" outlineLevel="0" collapsed="false">
      <c r="A699" s="9" t="s">
        <v>235</v>
      </c>
      <c r="B699" s="11" t="s">
        <v>122</v>
      </c>
      <c r="C699" s="11" t="s">
        <v>32</v>
      </c>
      <c r="D699" s="27" t="str">
        <f aca="false">IF('TEa input'!Q49="","",'TEa input'!Q49)</f>
        <v/>
      </c>
      <c r="E699" s="28" t="str">
        <f aca="false">IF(D699="","",MIN(Sigma!AG95:AG97))</f>
        <v/>
      </c>
    </row>
    <row r="700" customFormat="false" ht="15" hidden="false" customHeight="true" outlineLevel="0" collapsed="false">
      <c r="A700" s="9" t="s">
        <v>235</v>
      </c>
      <c r="B700" s="11" t="s">
        <v>122</v>
      </c>
      <c r="C700" s="11" t="s">
        <v>33</v>
      </c>
      <c r="D700" s="27" t="str">
        <f aca="false">IF('TEa input'!R49="","",'TEa input'!R49)</f>
        <v/>
      </c>
      <c r="E700" s="28" t="str">
        <f aca="false">IF(D700="","",MIN(Sigma!AH95:AH97))</f>
        <v/>
      </c>
    </row>
    <row r="701" customFormat="false" ht="15" hidden="false" customHeight="true" outlineLevel="0" collapsed="false">
      <c r="A701" s="9" t="s">
        <v>235</v>
      </c>
      <c r="B701" s="11" t="s">
        <v>122</v>
      </c>
      <c r="C701" s="11" t="s">
        <v>34</v>
      </c>
      <c r="D701" s="27" t="str">
        <f aca="false">IF('TEa input'!T49="","",'TEa input'!T49)</f>
        <v/>
      </c>
      <c r="E701" s="28" t="str">
        <f aca="false">IF(D701="","",MIN(Sigma!AI95:AI97))</f>
        <v/>
      </c>
    </row>
    <row r="702" customFormat="false" ht="15" hidden="false" customHeight="true" outlineLevel="0" collapsed="false">
      <c r="A702" s="9" t="s">
        <v>235</v>
      </c>
      <c r="B702" s="11" t="s">
        <v>122</v>
      </c>
      <c r="C702" s="11" t="s">
        <v>320</v>
      </c>
      <c r="D702" s="27" t="str">
        <f aca="false">IF('TEa input'!Y49="","",'TEa input'!Y49)</f>
        <v/>
      </c>
      <c r="E702" s="28" t="str">
        <f aca="false">IF(D702="","",MIN(Sigma!AJ95:AJ97))</f>
        <v/>
      </c>
    </row>
    <row r="703" customFormat="false" ht="15" hidden="false" customHeight="true" outlineLevel="0" collapsed="false">
      <c r="A703" s="9" t="s">
        <v>235</v>
      </c>
      <c r="B703" s="11" t="s">
        <v>122</v>
      </c>
      <c r="C703" s="11" t="s">
        <v>321</v>
      </c>
      <c r="D703" s="27" t="str">
        <f aca="false">IF('TEa input'!Z49="","",'TEa input'!Z49)</f>
        <v/>
      </c>
      <c r="E703" s="28" t="str">
        <f aca="false">IF(D703="","",MIN(Sigma!AK95:AK97))</f>
        <v/>
      </c>
    </row>
    <row r="704" customFormat="false" ht="15" hidden="false" customHeight="true" outlineLevel="0" collapsed="false">
      <c r="A704" s="9" t="s">
        <v>235</v>
      </c>
      <c r="B704" s="11" t="s">
        <v>122</v>
      </c>
      <c r="C704" s="11" t="s">
        <v>322</v>
      </c>
      <c r="D704" s="27" t="str">
        <f aca="false">IF('TEa input'!AA49="","",'TEa input'!AA49)</f>
        <v/>
      </c>
      <c r="E704" s="28" t="str">
        <f aca="false">IF(D704="","",MIN(Sigma!AL95:AL97))</f>
        <v/>
      </c>
    </row>
    <row r="705" customFormat="false" ht="15" hidden="false" customHeight="true" outlineLevel="0" collapsed="false">
      <c r="A705" s="9" t="s">
        <v>235</v>
      </c>
      <c r="B705" s="11" t="s">
        <v>122</v>
      </c>
      <c r="C705" s="11" t="s">
        <v>323</v>
      </c>
      <c r="D705" s="27" t="str">
        <f aca="false">IF('TEa input'!AB49="","",'TEa input'!AB49)</f>
        <v/>
      </c>
      <c r="E705" s="28" t="str">
        <f aca="false">IF(D705="","",MIN(Sigma!AM95:AM97))</f>
        <v/>
      </c>
    </row>
    <row r="706" customFormat="false" ht="15" hidden="false" customHeight="true" outlineLevel="0" collapsed="false">
      <c r="A706" s="9" t="s">
        <v>235</v>
      </c>
      <c r="B706" s="11" t="s">
        <v>122</v>
      </c>
      <c r="C706" s="11" t="s">
        <v>324</v>
      </c>
      <c r="D706" s="27" t="str">
        <f aca="false">IF('TEa input'!AC49="","",'TEa input'!AC49)</f>
        <v/>
      </c>
      <c r="E706" s="28" t="str">
        <f aca="false">IF(D706="","",MIN(Sigma!AN95:AN97))</f>
        <v/>
      </c>
    </row>
    <row r="707" customFormat="false" ht="15" hidden="false" customHeight="true" outlineLevel="0" collapsed="false">
      <c r="A707" s="9" t="s">
        <v>235</v>
      </c>
      <c r="B707" s="11" t="s">
        <v>122</v>
      </c>
      <c r="C707" s="11" t="s">
        <v>325</v>
      </c>
      <c r="D707" s="27" t="str">
        <f aca="false">IF('TEa input'!AD49="","",'TEa input'!AD49)</f>
        <v/>
      </c>
      <c r="E707" s="28" t="str">
        <f aca="false">IF(D707="","",MIN(Sigma!AO95:AO97))</f>
        <v/>
      </c>
    </row>
    <row r="708" customFormat="false" ht="15" hidden="false" customHeight="true" outlineLevel="0" collapsed="false">
      <c r="A708" s="9" t="s">
        <v>235</v>
      </c>
      <c r="B708" s="11" t="s">
        <v>122</v>
      </c>
      <c r="C708" s="29" t="str">
        <f aca="false">IF('TEa input'!AE49="","Other",'TEa input'!AE49)</f>
        <v>Other</v>
      </c>
      <c r="D708" s="27" t="str">
        <f aca="false">IF('TEa input'!AF49="","",'TEa input'!AF49)</f>
        <v/>
      </c>
      <c r="E708" s="28" t="str">
        <f aca="false">IF(D708="","",MIN(Sigma!AP95:AP97))</f>
        <v/>
      </c>
    </row>
    <row r="709" customFormat="false" ht="15" hidden="false" customHeight="true" outlineLevel="0" collapsed="false">
      <c r="A709" s="9" t="s">
        <v>239</v>
      </c>
      <c r="B709" s="11" t="s">
        <v>122</v>
      </c>
      <c r="C709" s="11" t="s">
        <v>26</v>
      </c>
      <c r="D709" s="27" t="str">
        <f aca="false">IF('TEa input'!E50="","",'TEa input'!E50)</f>
        <v/>
      </c>
      <c r="E709" s="28" t="str">
        <f aca="false">IF(D709="","",MIN(Sigma!AA98:AA100))</f>
        <v/>
      </c>
    </row>
    <row r="710" customFormat="false" ht="15" hidden="false" customHeight="true" outlineLevel="0" collapsed="false">
      <c r="A710" s="9" t="s">
        <v>239</v>
      </c>
      <c r="B710" s="11" t="s">
        <v>122</v>
      </c>
      <c r="C710" s="11" t="s">
        <v>27</v>
      </c>
      <c r="D710" s="27" t="n">
        <f aca="false">IF('TEa input'!G50="","",'TEa input'!G50)</f>
        <v>20</v>
      </c>
      <c r="E710" s="28" t="n">
        <f aca="false">IF(D710="","",MIN(Sigma!AB98:AB100))</f>
        <v>4.51181818181818</v>
      </c>
    </row>
    <row r="711" customFormat="false" ht="15" hidden="false" customHeight="true" outlineLevel="0" collapsed="false">
      <c r="A711" s="9" t="s">
        <v>239</v>
      </c>
      <c r="B711" s="11" t="s">
        <v>122</v>
      </c>
      <c r="C711" s="11" t="s">
        <v>28</v>
      </c>
      <c r="D711" s="27" t="n">
        <f aca="false">IF('TEa input'!I50="","",'TEa input'!I50)</f>
        <v>11.5</v>
      </c>
      <c r="E711" s="28" t="n">
        <f aca="false">IF(D711="","",MIN(Sigma!AC98:AC100))</f>
        <v>2.58</v>
      </c>
    </row>
    <row r="712" customFormat="false" ht="15" hidden="false" customHeight="true" outlineLevel="0" collapsed="false">
      <c r="A712" s="9" t="s">
        <v>239</v>
      </c>
      <c r="B712" s="11" t="s">
        <v>122</v>
      </c>
      <c r="C712" s="11" t="s">
        <v>29</v>
      </c>
      <c r="D712" s="27" t="str">
        <f aca="false">IF('TEa input'!K50="","",'TEa input'!K50)</f>
        <v/>
      </c>
      <c r="E712" s="28" t="str">
        <f aca="false">IF(D712="","",MIN(Sigma!AD98:AD100))</f>
        <v/>
      </c>
    </row>
    <row r="713" customFormat="false" ht="15" hidden="false" customHeight="true" outlineLevel="0" collapsed="false">
      <c r="A713" s="9" t="s">
        <v>239</v>
      </c>
      <c r="B713" s="11" t="s">
        <v>122</v>
      </c>
      <c r="C713" s="11" t="s">
        <v>30</v>
      </c>
      <c r="D713" s="27" t="n">
        <f aca="false">IF('TEa input'!M50="","",'TEa input'!M50)</f>
        <v>10</v>
      </c>
      <c r="E713" s="28" t="n">
        <f aca="false">IF(D713="","",MIN(Sigma!AE98:AE100))</f>
        <v>2.23909090909091</v>
      </c>
    </row>
    <row r="714" customFormat="false" ht="15" hidden="false" customHeight="true" outlineLevel="0" collapsed="false">
      <c r="A714" s="9" t="s">
        <v>239</v>
      </c>
      <c r="B714" s="11" t="s">
        <v>122</v>
      </c>
      <c r="C714" s="11" t="s">
        <v>31</v>
      </c>
      <c r="D714" s="27" t="str">
        <f aca="false">IF('TEa input'!O50="","",'TEa input'!O50)</f>
        <v/>
      </c>
      <c r="E714" s="28" t="str">
        <f aca="false">IF(D714="","",MIN(Sigma!AF98:AF100))</f>
        <v/>
      </c>
    </row>
    <row r="715" customFormat="false" ht="15" hidden="false" customHeight="true" outlineLevel="0" collapsed="false">
      <c r="A715" s="9" t="s">
        <v>239</v>
      </c>
      <c r="B715" s="11" t="s">
        <v>122</v>
      </c>
      <c r="C715" s="11" t="s">
        <v>32</v>
      </c>
      <c r="D715" s="27" t="str">
        <f aca="false">IF('TEa input'!Q50="","",'TEa input'!Q50)</f>
        <v/>
      </c>
      <c r="E715" s="28" t="str">
        <f aca="false">IF(D715="","",MIN(Sigma!AG98:AG100))</f>
        <v/>
      </c>
    </row>
    <row r="716" customFormat="false" ht="15" hidden="false" customHeight="true" outlineLevel="0" collapsed="false">
      <c r="A716" s="9" t="s">
        <v>239</v>
      </c>
      <c r="B716" s="11" t="s">
        <v>122</v>
      </c>
      <c r="C716" s="11" t="s">
        <v>33</v>
      </c>
      <c r="D716" s="27" t="str">
        <f aca="false">IF('TEa input'!R50="","",'TEa input'!R50)</f>
        <v/>
      </c>
      <c r="E716" s="28" t="str">
        <f aca="false">IF(D716="","",MIN(Sigma!AH98:AH100))</f>
        <v/>
      </c>
    </row>
    <row r="717" customFormat="false" ht="15" hidden="false" customHeight="true" outlineLevel="0" collapsed="false">
      <c r="A717" s="9" t="s">
        <v>239</v>
      </c>
      <c r="B717" s="11" t="s">
        <v>122</v>
      </c>
      <c r="C717" s="11" t="s">
        <v>34</v>
      </c>
      <c r="D717" s="27" t="str">
        <f aca="false">IF('TEa input'!T50="","",'TEa input'!T50)</f>
        <v/>
      </c>
      <c r="E717" s="28" t="str">
        <f aca="false">IF(D717="","",MIN(Sigma!AI98:AI100))</f>
        <v/>
      </c>
    </row>
    <row r="718" customFormat="false" ht="15" hidden="false" customHeight="true" outlineLevel="0" collapsed="false">
      <c r="A718" s="9" t="s">
        <v>239</v>
      </c>
      <c r="B718" s="11" t="s">
        <v>122</v>
      </c>
      <c r="C718" s="11" t="s">
        <v>320</v>
      </c>
      <c r="D718" s="27" t="str">
        <f aca="false">IF('TEa input'!Y50="","",'TEa input'!Y50)</f>
        <v/>
      </c>
      <c r="E718" s="28" t="str">
        <f aca="false">IF(D718="","",MIN(Sigma!AJ98:AJ100))</f>
        <v/>
      </c>
    </row>
    <row r="719" customFormat="false" ht="15" hidden="false" customHeight="true" outlineLevel="0" collapsed="false">
      <c r="A719" s="9" t="s">
        <v>239</v>
      </c>
      <c r="B719" s="11" t="s">
        <v>122</v>
      </c>
      <c r="C719" s="11" t="s">
        <v>321</v>
      </c>
      <c r="D719" s="27" t="str">
        <f aca="false">IF('TEa input'!Z50="","",'TEa input'!Z50)</f>
        <v/>
      </c>
      <c r="E719" s="28" t="str">
        <f aca="false">IF(D719="","",MIN(Sigma!AK98:AK100))</f>
        <v/>
      </c>
    </row>
    <row r="720" customFormat="false" ht="15" hidden="false" customHeight="true" outlineLevel="0" collapsed="false">
      <c r="A720" s="9" t="s">
        <v>239</v>
      </c>
      <c r="B720" s="11" t="s">
        <v>122</v>
      </c>
      <c r="C720" s="11" t="s">
        <v>322</v>
      </c>
      <c r="D720" s="27" t="str">
        <f aca="false">IF('TEa input'!AA50="","",'TEa input'!AA50)</f>
        <v/>
      </c>
      <c r="E720" s="28" t="str">
        <f aca="false">IF(D720="","",MIN(Sigma!AL98:AL100))</f>
        <v/>
      </c>
    </row>
    <row r="721" customFormat="false" ht="15" hidden="false" customHeight="true" outlineLevel="0" collapsed="false">
      <c r="A721" s="9" t="s">
        <v>239</v>
      </c>
      <c r="B721" s="11" t="s">
        <v>122</v>
      </c>
      <c r="C721" s="11" t="s">
        <v>323</v>
      </c>
      <c r="D721" s="27" t="str">
        <f aca="false">IF('TEa input'!AB50="","",'TEa input'!AB50)</f>
        <v/>
      </c>
      <c r="E721" s="28" t="str">
        <f aca="false">IF(D721="","",MIN(Sigma!AM98:AM100))</f>
        <v/>
      </c>
    </row>
    <row r="722" customFormat="false" ht="15" hidden="false" customHeight="true" outlineLevel="0" collapsed="false">
      <c r="A722" s="9" t="s">
        <v>239</v>
      </c>
      <c r="B722" s="11" t="s">
        <v>122</v>
      </c>
      <c r="C722" s="11" t="s">
        <v>324</v>
      </c>
      <c r="D722" s="27" t="str">
        <f aca="false">IF('TEa input'!AC50="","",'TEa input'!AC50)</f>
        <v/>
      </c>
      <c r="E722" s="28" t="str">
        <f aca="false">IF(D722="","",MIN(Sigma!AN98:AN100))</f>
        <v/>
      </c>
    </row>
    <row r="723" customFormat="false" ht="15" hidden="false" customHeight="true" outlineLevel="0" collapsed="false">
      <c r="A723" s="9" t="s">
        <v>239</v>
      </c>
      <c r="B723" s="11" t="s">
        <v>122</v>
      </c>
      <c r="C723" s="11" t="s">
        <v>325</v>
      </c>
      <c r="D723" s="27" t="str">
        <f aca="false">IF('TEa input'!AD50="","",'TEa input'!AD50)</f>
        <v/>
      </c>
      <c r="E723" s="28" t="str">
        <f aca="false">IF(D723="","",MIN(Sigma!AO98:AO100))</f>
        <v/>
      </c>
    </row>
    <row r="724" customFormat="false" ht="15" hidden="false" customHeight="true" outlineLevel="0" collapsed="false">
      <c r="A724" s="9" t="s">
        <v>239</v>
      </c>
      <c r="B724" s="11" t="s">
        <v>122</v>
      </c>
      <c r="C724" s="29" t="str">
        <f aca="false">IF('TEa input'!AE50="","Other",'TEa input'!AE50)</f>
        <v>Other</v>
      </c>
      <c r="D724" s="27" t="str">
        <f aca="false">IF('TEa input'!AF50="","",'TEa input'!AF50)</f>
        <v/>
      </c>
      <c r="E724" s="28" t="str">
        <f aca="false">IF(D724="","",MIN(Sigma!AP98:AP100))</f>
        <v/>
      </c>
    </row>
    <row r="725" customFormat="false" ht="15" hidden="false" customHeight="true" outlineLevel="0" collapsed="false">
      <c r="A725" s="9" t="s">
        <v>242</v>
      </c>
      <c r="B725" s="11" t="s">
        <v>122</v>
      </c>
      <c r="C725" s="11" t="s">
        <v>26</v>
      </c>
      <c r="D725" s="27" t="str">
        <f aca="false">IF('TEa input'!E51="","",'TEa input'!E51)</f>
        <v/>
      </c>
      <c r="E725" s="28" t="str">
        <f aca="false">IF(D725="","",MIN(Sigma!AA101:AA103))</f>
        <v/>
      </c>
    </row>
    <row r="726" customFormat="false" ht="15" hidden="false" customHeight="true" outlineLevel="0" collapsed="false">
      <c r="A726" s="9" t="s">
        <v>242</v>
      </c>
      <c r="B726" s="11" t="s">
        <v>122</v>
      </c>
      <c r="C726" s="11" t="s">
        <v>27</v>
      </c>
      <c r="D726" s="27" t="n">
        <f aca="false">IF('TEa input'!G51="","",'TEa input'!G51)</f>
        <v>20</v>
      </c>
      <c r="E726" s="28" t="n">
        <f aca="false">IF(D726="","",MIN(Sigma!AB101:AB103))</f>
        <v>5.99605223200729</v>
      </c>
    </row>
    <row r="727" customFormat="false" ht="15" hidden="false" customHeight="true" outlineLevel="0" collapsed="false">
      <c r="A727" s="9" t="s">
        <v>242</v>
      </c>
      <c r="B727" s="11" t="s">
        <v>122</v>
      </c>
      <c r="C727" s="11" t="s">
        <v>28</v>
      </c>
      <c r="D727" s="27" t="n">
        <f aca="false">IF('TEa input'!I51="","",'TEa input'!I51)</f>
        <v>12</v>
      </c>
      <c r="E727" s="28" t="n">
        <f aca="false">IF(D727="","",MIN(Sigma!AC101:AC103))</f>
        <v>3.56665654418463</v>
      </c>
    </row>
    <row r="728" customFormat="false" ht="15" hidden="false" customHeight="true" outlineLevel="0" collapsed="false">
      <c r="A728" s="9" t="s">
        <v>242</v>
      </c>
      <c r="B728" s="11" t="s">
        <v>122</v>
      </c>
      <c r="C728" s="11" t="s">
        <v>29</v>
      </c>
      <c r="D728" s="27" t="str">
        <f aca="false">IF('TEa input'!K51="","",'TEa input'!K51)</f>
        <v/>
      </c>
      <c r="E728" s="28" t="str">
        <f aca="false">IF(D728="","",MIN(Sigma!AD101:AD103))</f>
        <v/>
      </c>
    </row>
    <row r="729" customFormat="false" ht="15" hidden="false" customHeight="true" outlineLevel="0" collapsed="false">
      <c r="A729" s="9" t="s">
        <v>242</v>
      </c>
      <c r="B729" s="11" t="s">
        <v>122</v>
      </c>
      <c r="C729" s="11" t="s">
        <v>30</v>
      </c>
      <c r="D729" s="27" t="n">
        <f aca="false">IF('TEa input'!M51="","",'TEa input'!M51)</f>
        <v>10</v>
      </c>
      <c r="E729" s="28" t="n">
        <f aca="false">IF(D729="","",MIN(Sigma!AE101:AE103))</f>
        <v>2.95930762222897</v>
      </c>
    </row>
    <row r="730" customFormat="false" ht="15" hidden="false" customHeight="true" outlineLevel="0" collapsed="false">
      <c r="A730" s="9" t="s">
        <v>242</v>
      </c>
      <c r="B730" s="11" t="s">
        <v>122</v>
      </c>
      <c r="C730" s="11" t="s">
        <v>31</v>
      </c>
      <c r="D730" s="27" t="str">
        <f aca="false">IF('TEa input'!O51="","",'TEa input'!O51)</f>
        <v/>
      </c>
      <c r="E730" s="28" t="str">
        <f aca="false">IF(D730="","",MIN(Sigma!AF101:AF103))</f>
        <v/>
      </c>
    </row>
    <row r="731" customFormat="false" ht="15" hidden="false" customHeight="true" outlineLevel="0" collapsed="false">
      <c r="A731" s="9" t="s">
        <v>242</v>
      </c>
      <c r="B731" s="11" t="s">
        <v>122</v>
      </c>
      <c r="C731" s="11" t="s">
        <v>32</v>
      </c>
      <c r="D731" s="27" t="str">
        <f aca="false">IF('TEa input'!Q51="","",'TEa input'!Q51)</f>
        <v/>
      </c>
      <c r="E731" s="28" t="str">
        <f aca="false">IF(D731="","",MIN(Sigma!AG101:AG103))</f>
        <v/>
      </c>
    </row>
    <row r="732" customFormat="false" ht="15" hidden="false" customHeight="true" outlineLevel="0" collapsed="false">
      <c r="A732" s="9" t="s">
        <v>242</v>
      </c>
      <c r="B732" s="11" t="s">
        <v>122</v>
      </c>
      <c r="C732" s="11" t="s">
        <v>33</v>
      </c>
      <c r="D732" s="27" t="str">
        <f aca="false">IF('TEa input'!R51="","",'TEa input'!R51)</f>
        <v/>
      </c>
      <c r="E732" s="28" t="str">
        <f aca="false">IF(D732="","",MIN(Sigma!AH101:AH103))</f>
        <v/>
      </c>
    </row>
    <row r="733" customFormat="false" ht="15" hidden="false" customHeight="true" outlineLevel="0" collapsed="false">
      <c r="A733" s="9" t="s">
        <v>242</v>
      </c>
      <c r="B733" s="11" t="s">
        <v>122</v>
      </c>
      <c r="C733" s="11" t="s">
        <v>34</v>
      </c>
      <c r="D733" s="27" t="str">
        <f aca="false">IF('TEa input'!T51="","",'TEa input'!T51)</f>
        <v/>
      </c>
      <c r="E733" s="28" t="str">
        <f aca="false">IF(D733="","",MIN(Sigma!AI101:AI103))</f>
        <v/>
      </c>
    </row>
    <row r="734" customFormat="false" ht="15" hidden="false" customHeight="true" outlineLevel="0" collapsed="false">
      <c r="A734" s="9" t="s">
        <v>242</v>
      </c>
      <c r="B734" s="11" t="s">
        <v>122</v>
      </c>
      <c r="C734" s="11" t="s">
        <v>320</v>
      </c>
      <c r="D734" s="27" t="str">
        <f aca="false">IF('TEa input'!Y51="","",'TEa input'!Y51)</f>
        <v/>
      </c>
      <c r="E734" s="28" t="str">
        <f aca="false">IF(D734="","",MIN(Sigma!AJ101:AJ103))</f>
        <v/>
      </c>
    </row>
    <row r="735" customFormat="false" ht="15" hidden="false" customHeight="true" outlineLevel="0" collapsed="false">
      <c r="A735" s="9" t="s">
        <v>242</v>
      </c>
      <c r="B735" s="11" t="s">
        <v>122</v>
      </c>
      <c r="C735" s="11" t="s">
        <v>321</v>
      </c>
      <c r="D735" s="27" t="str">
        <f aca="false">IF('TEa input'!Z51="","",'TEa input'!Z51)</f>
        <v/>
      </c>
      <c r="E735" s="28" t="str">
        <f aca="false">IF(D735="","",MIN(Sigma!AK101:AK103))</f>
        <v/>
      </c>
    </row>
    <row r="736" customFormat="false" ht="15" hidden="false" customHeight="true" outlineLevel="0" collapsed="false">
      <c r="A736" s="9" t="s">
        <v>242</v>
      </c>
      <c r="B736" s="11" t="s">
        <v>122</v>
      </c>
      <c r="C736" s="11" t="s">
        <v>322</v>
      </c>
      <c r="D736" s="27" t="str">
        <f aca="false">IF('TEa input'!AA51="","",'TEa input'!AA51)</f>
        <v/>
      </c>
      <c r="E736" s="28" t="str">
        <f aca="false">IF(D736="","",MIN(Sigma!AL101:AL103))</f>
        <v/>
      </c>
    </row>
    <row r="737" customFormat="false" ht="15" hidden="false" customHeight="true" outlineLevel="0" collapsed="false">
      <c r="A737" s="9" t="s">
        <v>242</v>
      </c>
      <c r="B737" s="11" t="s">
        <v>122</v>
      </c>
      <c r="C737" s="11" t="s">
        <v>323</v>
      </c>
      <c r="D737" s="27" t="str">
        <f aca="false">IF('TEa input'!AB51="","",'TEa input'!AB51)</f>
        <v/>
      </c>
      <c r="E737" s="28" t="str">
        <f aca="false">IF(D737="","",MIN(Sigma!AM101:AM103))</f>
        <v/>
      </c>
    </row>
    <row r="738" customFormat="false" ht="15" hidden="false" customHeight="true" outlineLevel="0" collapsed="false">
      <c r="A738" s="9" t="s">
        <v>242</v>
      </c>
      <c r="B738" s="11" t="s">
        <v>122</v>
      </c>
      <c r="C738" s="11" t="s">
        <v>324</v>
      </c>
      <c r="D738" s="27" t="str">
        <f aca="false">IF('TEa input'!AC51="","",'TEa input'!AC51)</f>
        <v/>
      </c>
      <c r="E738" s="28" t="str">
        <f aca="false">IF(D738="","",MIN(Sigma!AN101:AN103))</f>
        <v/>
      </c>
    </row>
    <row r="739" customFormat="false" ht="15" hidden="false" customHeight="true" outlineLevel="0" collapsed="false">
      <c r="A739" s="9" t="s">
        <v>242</v>
      </c>
      <c r="B739" s="11" t="s">
        <v>122</v>
      </c>
      <c r="C739" s="11" t="s">
        <v>325</v>
      </c>
      <c r="D739" s="27" t="str">
        <f aca="false">IF('TEa input'!AD51="","",'TEa input'!AD51)</f>
        <v/>
      </c>
      <c r="E739" s="28" t="str">
        <f aca="false">IF(D739="","",MIN(Sigma!AO101:AO103))</f>
        <v/>
      </c>
    </row>
    <row r="740" customFormat="false" ht="15" hidden="false" customHeight="true" outlineLevel="0" collapsed="false">
      <c r="A740" s="9" t="s">
        <v>242</v>
      </c>
      <c r="B740" s="11" t="s">
        <v>122</v>
      </c>
      <c r="C740" s="29" t="str">
        <f aca="false">IF('TEa input'!AE51="","Other",'TEa input'!AE51)</f>
        <v>Other</v>
      </c>
      <c r="D740" s="27" t="str">
        <f aca="false">IF('TEa input'!AF51="","",'TEa input'!AF51)</f>
        <v/>
      </c>
      <c r="E740" s="28" t="str">
        <f aca="false">IF(D740="","",MIN(Sigma!AP101:AP103))</f>
        <v/>
      </c>
    </row>
    <row r="741" customFormat="false" ht="15" hidden="false" customHeight="true" outlineLevel="0" collapsed="false">
      <c r="A741" s="9" t="s">
        <v>246</v>
      </c>
      <c r="B741" s="11" t="s">
        <v>122</v>
      </c>
      <c r="C741" s="11" t="s">
        <v>26</v>
      </c>
      <c r="D741" s="27" t="str">
        <f aca="false">IF('TEa input'!E52="","",'TEa input'!E52)</f>
        <v/>
      </c>
      <c r="E741" s="28" t="str">
        <f aca="false">IF(D741="","",MIN(Sigma!AA104:AA106))</f>
        <v/>
      </c>
    </row>
    <row r="742" customFormat="false" ht="15" hidden="false" customHeight="true" outlineLevel="0" collapsed="false">
      <c r="A742" s="9" t="s">
        <v>246</v>
      </c>
      <c r="B742" s="11" t="s">
        <v>122</v>
      </c>
      <c r="C742" s="11" t="s">
        <v>27</v>
      </c>
      <c r="D742" s="27" t="n">
        <f aca="false">IF('TEa input'!G52="","",'TEa input'!G52)</f>
        <v>15</v>
      </c>
      <c r="E742" s="28" t="n">
        <f aca="false">IF(D742="","",MIN(Sigma!AB104:AB106))</f>
        <v>3.5375418460067</v>
      </c>
    </row>
    <row r="743" customFormat="false" ht="15" hidden="false" customHeight="true" outlineLevel="0" collapsed="false">
      <c r="A743" s="9" t="s">
        <v>246</v>
      </c>
      <c r="B743" s="11" t="s">
        <v>122</v>
      </c>
      <c r="C743" s="11" t="s">
        <v>28</v>
      </c>
      <c r="D743" s="27" t="str">
        <f aca="false">IF('TEa input'!I52="","",'TEa input'!I52)</f>
        <v/>
      </c>
      <c r="E743" s="28" t="str">
        <f aca="false">IF(D743="","",MIN(Sigma!AC104:AC106))</f>
        <v/>
      </c>
    </row>
    <row r="744" customFormat="false" ht="15" hidden="false" customHeight="true" outlineLevel="0" collapsed="false">
      <c r="A744" s="9" t="s">
        <v>246</v>
      </c>
      <c r="B744" s="11" t="s">
        <v>122</v>
      </c>
      <c r="C744" s="11" t="s">
        <v>29</v>
      </c>
      <c r="D744" s="27" t="str">
        <f aca="false">IF('TEa input'!K52="","",'TEa input'!K52)</f>
        <v/>
      </c>
      <c r="E744" s="28" t="str">
        <f aca="false">IF(D744="","",MIN(Sigma!AD104:AD106))</f>
        <v/>
      </c>
    </row>
    <row r="745" customFormat="false" ht="15" hidden="false" customHeight="true" outlineLevel="0" collapsed="false">
      <c r="A745" s="9" t="s">
        <v>246</v>
      </c>
      <c r="B745" s="11" t="s">
        <v>122</v>
      </c>
      <c r="C745" s="11" t="s">
        <v>30</v>
      </c>
      <c r="D745" s="27" t="n">
        <f aca="false">IF('TEa input'!M52="","",'TEa input'!M52)</f>
        <v>10</v>
      </c>
      <c r="E745" s="28" t="n">
        <f aca="false">IF(D745="","",MIN(Sigma!AE104:AE106))</f>
        <v>2.34194165471066</v>
      </c>
    </row>
    <row r="746" customFormat="false" ht="15" hidden="false" customHeight="true" outlineLevel="0" collapsed="false">
      <c r="A746" s="9" t="s">
        <v>246</v>
      </c>
      <c r="B746" s="11" t="s">
        <v>122</v>
      </c>
      <c r="C746" s="11" t="s">
        <v>31</v>
      </c>
      <c r="D746" s="27" t="str">
        <f aca="false">IF('TEa input'!O52="","",'TEa input'!O52)</f>
        <v/>
      </c>
      <c r="E746" s="28" t="str">
        <f aca="false">IF(D746="","",MIN(Sigma!AF104:AF106))</f>
        <v/>
      </c>
    </row>
    <row r="747" customFormat="false" ht="15" hidden="false" customHeight="true" outlineLevel="0" collapsed="false">
      <c r="A747" s="9" t="s">
        <v>246</v>
      </c>
      <c r="B747" s="11" t="s">
        <v>122</v>
      </c>
      <c r="C747" s="11" t="s">
        <v>32</v>
      </c>
      <c r="D747" s="27" t="str">
        <f aca="false">IF('TEa input'!Q52="","",'TEa input'!Q52)</f>
        <v/>
      </c>
      <c r="E747" s="28" t="str">
        <f aca="false">IF(D747="","",MIN(Sigma!AG104:AG106))</f>
        <v/>
      </c>
    </row>
    <row r="748" customFormat="false" ht="15" hidden="false" customHeight="true" outlineLevel="0" collapsed="false">
      <c r="A748" s="9" t="s">
        <v>246</v>
      </c>
      <c r="B748" s="11" t="s">
        <v>122</v>
      </c>
      <c r="C748" s="11" t="s">
        <v>33</v>
      </c>
      <c r="D748" s="27" t="str">
        <f aca="false">IF('TEa input'!R52="","",'TEa input'!R52)</f>
        <v/>
      </c>
      <c r="E748" s="28" t="str">
        <f aca="false">IF(D748="","",MIN(Sigma!AH104:AH106))</f>
        <v/>
      </c>
    </row>
    <row r="749" customFormat="false" ht="15" hidden="false" customHeight="true" outlineLevel="0" collapsed="false">
      <c r="A749" s="9" t="s">
        <v>246</v>
      </c>
      <c r="B749" s="11" t="s">
        <v>122</v>
      </c>
      <c r="C749" s="11" t="s">
        <v>34</v>
      </c>
      <c r="D749" s="27" t="str">
        <f aca="false">IF('TEa input'!T52="","",'TEa input'!T52)</f>
        <v/>
      </c>
      <c r="E749" s="28" t="str">
        <f aca="false">IF(D749="","",MIN(Sigma!AI104:AI106))</f>
        <v/>
      </c>
    </row>
    <row r="750" customFormat="false" ht="15" hidden="false" customHeight="true" outlineLevel="0" collapsed="false">
      <c r="A750" s="9" t="s">
        <v>246</v>
      </c>
      <c r="B750" s="11" t="s">
        <v>122</v>
      </c>
      <c r="C750" s="11" t="s">
        <v>320</v>
      </c>
      <c r="D750" s="27" t="str">
        <f aca="false">IF('TEa input'!Y52="","",'TEa input'!Y52)</f>
        <v/>
      </c>
      <c r="E750" s="28" t="str">
        <f aca="false">IF(D750="","",MIN(Sigma!AJ104:AJ106))</f>
        <v/>
      </c>
    </row>
    <row r="751" customFormat="false" ht="15" hidden="false" customHeight="true" outlineLevel="0" collapsed="false">
      <c r="A751" s="9" t="s">
        <v>246</v>
      </c>
      <c r="B751" s="11" t="s">
        <v>122</v>
      </c>
      <c r="C751" s="11" t="s">
        <v>321</v>
      </c>
      <c r="D751" s="27" t="str">
        <f aca="false">IF('TEa input'!Z52="","",'TEa input'!Z52)</f>
        <v/>
      </c>
      <c r="E751" s="28" t="str">
        <f aca="false">IF(D751="","",MIN(Sigma!AK104:AK106))</f>
        <v/>
      </c>
    </row>
    <row r="752" customFormat="false" ht="15" hidden="false" customHeight="true" outlineLevel="0" collapsed="false">
      <c r="A752" s="9" t="s">
        <v>246</v>
      </c>
      <c r="B752" s="11" t="s">
        <v>122</v>
      </c>
      <c r="C752" s="11" t="s">
        <v>322</v>
      </c>
      <c r="D752" s="27" t="str">
        <f aca="false">IF('TEa input'!AA52="","",'TEa input'!AA52)</f>
        <v/>
      </c>
      <c r="E752" s="28" t="str">
        <f aca="false">IF(D752="","",MIN(Sigma!AL104:AL106))</f>
        <v/>
      </c>
    </row>
    <row r="753" customFormat="false" ht="15" hidden="false" customHeight="true" outlineLevel="0" collapsed="false">
      <c r="A753" s="9" t="s">
        <v>246</v>
      </c>
      <c r="B753" s="11" t="s">
        <v>122</v>
      </c>
      <c r="C753" s="11" t="s">
        <v>323</v>
      </c>
      <c r="D753" s="27" t="str">
        <f aca="false">IF('TEa input'!AB52="","",'TEa input'!AB52)</f>
        <v/>
      </c>
      <c r="E753" s="28" t="str">
        <f aca="false">IF(D753="","",MIN(Sigma!AM104:AM106))</f>
        <v/>
      </c>
    </row>
    <row r="754" customFormat="false" ht="15" hidden="false" customHeight="true" outlineLevel="0" collapsed="false">
      <c r="A754" s="9" t="s">
        <v>246</v>
      </c>
      <c r="B754" s="11" t="s">
        <v>122</v>
      </c>
      <c r="C754" s="11" t="s">
        <v>324</v>
      </c>
      <c r="D754" s="27" t="str">
        <f aca="false">IF('TEa input'!AC52="","",'TEa input'!AC52)</f>
        <v/>
      </c>
      <c r="E754" s="28" t="str">
        <f aca="false">IF(D754="","",MIN(Sigma!AN104:AN106))</f>
        <v/>
      </c>
    </row>
    <row r="755" customFormat="false" ht="15" hidden="false" customHeight="true" outlineLevel="0" collapsed="false">
      <c r="A755" s="9" t="s">
        <v>246</v>
      </c>
      <c r="B755" s="11" t="s">
        <v>122</v>
      </c>
      <c r="C755" s="11" t="s">
        <v>325</v>
      </c>
      <c r="D755" s="27" t="str">
        <f aca="false">IF('TEa input'!AD52="","",'TEa input'!AD52)</f>
        <v/>
      </c>
      <c r="E755" s="28" t="str">
        <f aca="false">IF(D755="","",MIN(Sigma!AO104:AO106))</f>
        <v/>
      </c>
    </row>
    <row r="756" customFormat="false" ht="15" hidden="false" customHeight="true" outlineLevel="0" collapsed="false">
      <c r="A756" s="9" t="s">
        <v>246</v>
      </c>
      <c r="B756" s="11" t="s">
        <v>122</v>
      </c>
      <c r="C756" s="29" t="str">
        <f aca="false">IF('TEa input'!AE52="","Other",'TEa input'!AE52)</f>
        <v>Other</v>
      </c>
      <c r="D756" s="27" t="str">
        <f aca="false">IF('TEa input'!AF52="","",'TEa input'!AF52)</f>
        <v/>
      </c>
      <c r="E756" s="28" t="str">
        <f aca="false">IF(D756="","",MIN(Sigma!AP104:AP106))</f>
        <v/>
      </c>
    </row>
    <row r="757" customFormat="false" ht="15" hidden="false" customHeight="true" outlineLevel="0" collapsed="false">
      <c r="A757" s="9" t="s">
        <v>250</v>
      </c>
      <c r="B757" s="11" t="s">
        <v>122</v>
      </c>
      <c r="C757" s="11" t="s">
        <v>26</v>
      </c>
      <c r="D757" s="27" t="str">
        <f aca="false">IF('TEa input'!E53="","",'TEa input'!E53)</f>
        <v/>
      </c>
      <c r="E757" s="28" t="str">
        <f aca="false">IF(D757="","",MIN(Sigma!AA107:AA108))</f>
        <v/>
      </c>
    </row>
    <row r="758" customFormat="false" ht="15" hidden="false" customHeight="true" outlineLevel="0" collapsed="false">
      <c r="A758" s="9" t="s">
        <v>250</v>
      </c>
      <c r="B758" s="11" t="s">
        <v>122</v>
      </c>
      <c r="C758" s="11" t="s">
        <v>27</v>
      </c>
      <c r="D758" s="27" t="n">
        <f aca="false">IF('TEa input'!G53="","",'TEa input'!G53)</f>
        <v>15</v>
      </c>
      <c r="E758" s="28" t="n">
        <f aca="false">IF(D758="","",MIN(Sigma!AB107:AB108))</f>
        <v>4.07416879795396</v>
      </c>
    </row>
    <row r="759" customFormat="false" ht="15" hidden="false" customHeight="true" outlineLevel="0" collapsed="false">
      <c r="A759" s="9" t="s">
        <v>250</v>
      </c>
      <c r="B759" s="11" t="s">
        <v>122</v>
      </c>
      <c r="C759" s="11" t="s">
        <v>28</v>
      </c>
      <c r="D759" s="27" t="n">
        <f aca="false">IF('TEa input'!I53="","",'TEa input'!I53)</f>
        <v>13</v>
      </c>
      <c r="E759" s="28" t="n">
        <f aca="false">IF(D759="","",MIN(Sigma!AC107:AC108))</f>
        <v>3.50582551861324</v>
      </c>
    </row>
    <row r="760" customFormat="false" ht="15" hidden="false" customHeight="true" outlineLevel="0" collapsed="false">
      <c r="A760" s="9" t="s">
        <v>250</v>
      </c>
      <c r="B760" s="11" t="s">
        <v>122</v>
      </c>
      <c r="C760" s="11" t="s">
        <v>29</v>
      </c>
      <c r="D760" s="27" t="str">
        <f aca="false">IF('TEa input'!K53="","",'TEa input'!K53)</f>
        <v/>
      </c>
      <c r="E760" s="28" t="str">
        <f aca="false">IF(D760="","",MIN(Sigma!AD107:AD108))</f>
        <v/>
      </c>
    </row>
    <row r="761" customFormat="false" ht="15" hidden="false" customHeight="true" outlineLevel="0" collapsed="false">
      <c r="A761" s="9" t="s">
        <v>250</v>
      </c>
      <c r="B761" s="11" t="s">
        <v>122</v>
      </c>
      <c r="C761" s="11" t="s">
        <v>30</v>
      </c>
      <c r="D761" s="27" t="n">
        <f aca="false">IF('TEa input'!M53="","",'TEa input'!M53)</f>
        <v>12</v>
      </c>
      <c r="E761" s="28" t="n">
        <f aca="false">IF(D761="","",MIN(Sigma!AE107:AE108))</f>
        <v>3.22165387894288</v>
      </c>
    </row>
    <row r="762" customFormat="false" ht="15" hidden="false" customHeight="true" outlineLevel="0" collapsed="false">
      <c r="A762" s="9" t="s">
        <v>250</v>
      </c>
      <c r="B762" s="11" t="s">
        <v>122</v>
      </c>
      <c r="C762" s="11" t="s">
        <v>31</v>
      </c>
      <c r="D762" s="27" t="n">
        <f aca="false">IF('TEa input'!O53="","",'TEa input'!O53)</f>
        <v>20</v>
      </c>
      <c r="E762" s="28" t="n">
        <f aca="false">IF(D762="","",MIN(Sigma!AF107:AF108))</f>
        <v>5.49502699630577</v>
      </c>
    </row>
    <row r="763" customFormat="false" ht="15" hidden="false" customHeight="true" outlineLevel="0" collapsed="false">
      <c r="A763" s="9" t="s">
        <v>250</v>
      </c>
      <c r="B763" s="11" t="s">
        <v>122</v>
      </c>
      <c r="C763" s="11" t="s">
        <v>32</v>
      </c>
      <c r="D763" s="27" t="n">
        <f aca="false">IF('TEa input'!Q53="","",'TEa input'!Q53)</f>
        <v>13</v>
      </c>
      <c r="E763" s="28" t="n">
        <f aca="false">IF(D763="","",MIN(Sigma!AG107:AG108))</f>
        <v>3.50582551861324</v>
      </c>
    </row>
    <row r="764" customFormat="false" ht="15" hidden="false" customHeight="true" outlineLevel="0" collapsed="false">
      <c r="A764" s="9" t="s">
        <v>250</v>
      </c>
      <c r="B764" s="11" t="s">
        <v>122</v>
      </c>
      <c r="C764" s="11" t="s">
        <v>33</v>
      </c>
      <c r="D764" s="27" t="str">
        <f aca="false">IF('TEa input'!R53="","",'TEa input'!R53)</f>
        <v/>
      </c>
      <c r="E764" s="28" t="str">
        <f aca="false">IF(D764="","",MIN(Sigma!AH107:AH108))</f>
        <v/>
      </c>
    </row>
    <row r="765" customFormat="false" ht="15" hidden="false" customHeight="true" outlineLevel="0" collapsed="false">
      <c r="A765" s="9" t="s">
        <v>250</v>
      </c>
      <c r="B765" s="11" t="s">
        <v>122</v>
      </c>
      <c r="C765" s="11" t="s">
        <v>34</v>
      </c>
      <c r="D765" s="27" t="n">
        <f aca="false">IF('TEa input'!T53="","",'TEa input'!T53)</f>
        <v>20</v>
      </c>
      <c r="E765" s="28" t="n">
        <f aca="false">IF(D765="","",MIN(Sigma!AI107:AI108))</f>
        <v>5.49502699630577</v>
      </c>
    </row>
    <row r="766" customFormat="false" ht="15" hidden="false" customHeight="true" outlineLevel="0" collapsed="false">
      <c r="A766" s="9" t="s">
        <v>250</v>
      </c>
      <c r="B766" s="11" t="s">
        <v>122</v>
      </c>
      <c r="C766" s="11" t="s">
        <v>320</v>
      </c>
      <c r="D766" s="27" t="str">
        <f aca="false">IF('TEa input'!Y53="","",'TEa input'!Y53)</f>
        <v/>
      </c>
      <c r="E766" s="28" t="str">
        <f aca="false">IF(D766="","",MIN(Sigma!AJ107:AJ108))</f>
        <v/>
      </c>
    </row>
    <row r="767" customFormat="false" ht="15" hidden="false" customHeight="true" outlineLevel="0" collapsed="false">
      <c r="A767" s="9" t="s">
        <v>250</v>
      </c>
      <c r="B767" s="11" t="s">
        <v>122</v>
      </c>
      <c r="C767" s="11" t="s">
        <v>321</v>
      </c>
      <c r="D767" s="27" t="str">
        <f aca="false">IF('TEa input'!Z53="","",'TEa input'!Z53)</f>
        <v/>
      </c>
      <c r="E767" s="28" t="str">
        <f aca="false">IF(D767="","",MIN(Sigma!AK107:AK108))</f>
        <v/>
      </c>
    </row>
    <row r="768" customFormat="false" ht="15" hidden="false" customHeight="true" outlineLevel="0" collapsed="false">
      <c r="A768" s="9" t="s">
        <v>250</v>
      </c>
      <c r="B768" s="11" t="s">
        <v>122</v>
      </c>
      <c r="C768" s="11" t="s">
        <v>322</v>
      </c>
      <c r="D768" s="27" t="str">
        <f aca="false">IF('TEa input'!AA53="","",'TEa input'!AA53)</f>
        <v/>
      </c>
      <c r="E768" s="28" t="str">
        <f aca="false">IF(D768="","",MIN(Sigma!AL107:AL108))</f>
        <v/>
      </c>
    </row>
    <row r="769" customFormat="false" ht="15" hidden="false" customHeight="true" outlineLevel="0" collapsed="false">
      <c r="A769" s="9" t="s">
        <v>250</v>
      </c>
      <c r="B769" s="11" t="s">
        <v>122</v>
      </c>
      <c r="C769" s="11" t="s">
        <v>323</v>
      </c>
      <c r="D769" s="27" t="str">
        <f aca="false">IF('TEa input'!AB53="","",'TEa input'!AB53)</f>
        <v/>
      </c>
      <c r="E769" s="28" t="str">
        <f aca="false">IF(D769="","",MIN(Sigma!AM107:AM108))</f>
        <v/>
      </c>
    </row>
    <row r="770" customFormat="false" ht="15" hidden="false" customHeight="true" outlineLevel="0" collapsed="false">
      <c r="A770" s="9" t="s">
        <v>250</v>
      </c>
      <c r="B770" s="11" t="s">
        <v>122</v>
      </c>
      <c r="C770" s="11" t="s">
        <v>324</v>
      </c>
      <c r="D770" s="27" t="n">
        <f aca="false">IF('TEa input'!AC53="","",'TEa input'!AC53)</f>
        <v>8</v>
      </c>
      <c r="E770" s="28" t="n">
        <f aca="false">IF(D770="","",MIN(Sigma!AN107:AN108))</f>
        <v>2.08496732026144</v>
      </c>
    </row>
    <row r="771" customFormat="false" ht="15" hidden="false" customHeight="true" outlineLevel="0" collapsed="false">
      <c r="A771" s="9" t="s">
        <v>250</v>
      </c>
      <c r="B771" s="11" t="s">
        <v>122</v>
      </c>
      <c r="C771" s="11" t="s">
        <v>325</v>
      </c>
      <c r="D771" s="27" t="str">
        <f aca="false">IF('TEa input'!AD53="","",'TEa input'!AD53)</f>
        <v/>
      </c>
      <c r="E771" s="28" t="str">
        <f aca="false">IF(D771="","",MIN(Sigma!AO107:AO108))</f>
        <v/>
      </c>
    </row>
    <row r="772" customFormat="false" ht="15" hidden="false" customHeight="true" outlineLevel="0" collapsed="false">
      <c r="A772" s="9" t="s">
        <v>250</v>
      </c>
      <c r="B772" s="11" t="s">
        <v>122</v>
      </c>
      <c r="C772" s="29" t="str">
        <f aca="false">IF('TEa input'!AE53="","Other",'TEa input'!AE53)</f>
        <v>Other</v>
      </c>
      <c r="D772" s="27" t="str">
        <f aca="false">IF('TEa input'!AF53="","",'TEa input'!AF53)</f>
        <v/>
      </c>
      <c r="E772" s="28" t="str">
        <f aca="false">IF(D772="","",MIN(Sigma!AP107:AP108))</f>
        <v/>
      </c>
    </row>
    <row r="773" customFormat="false" ht="15" hidden="false" customHeight="true" outlineLevel="0" collapsed="false">
      <c r="A773" s="9" t="s">
        <v>256</v>
      </c>
      <c r="B773" s="11" t="s">
        <v>122</v>
      </c>
      <c r="C773" s="11" t="s">
        <v>26</v>
      </c>
      <c r="D773" s="27" t="str">
        <f aca="false">IF('TEa input'!E54="","",'TEa input'!E54)</f>
        <v/>
      </c>
      <c r="E773" s="28" t="str">
        <f aca="false">IF(D773="","",MIN(Sigma!AA109:AA110))</f>
        <v/>
      </c>
    </row>
    <row r="774" customFormat="false" ht="15" hidden="false" customHeight="true" outlineLevel="0" collapsed="false">
      <c r="A774" s="9" t="s">
        <v>256</v>
      </c>
      <c r="B774" s="11" t="s">
        <v>122</v>
      </c>
      <c r="C774" s="11" t="s">
        <v>27</v>
      </c>
      <c r="D774" s="27" t="str">
        <f aca="false">IF('TEa input'!G54="","",'TEa input'!G54)</f>
        <v/>
      </c>
      <c r="E774" s="28" t="str">
        <f aca="false">IF(D774="","",MIN(Sigma!AB109:AB110))</f>
        <v/>
      </c>
    </row>
    <row r="775" customFormat="false" ht="15" hidden="false" customHeight="true" outlineLevel="0" collapsed="false">
      <c r="A775" s="9" t="s">
        <v>256</v>
      </c>
      <c r="B775" s="11" t="s">
        <v>122</v>
      </c>
      <c r="C775" s="11" t="s">
        <v>28</v>
      </c>
      <c r="D775" s="27" t="n">
        <f aca="false">IF('TEa input'!I54="","",'TEa input'!I54)</f>
        <v>13</v>
      </c>
      <c r="E775" s="28" t="n">
        <f aca="false">IF(D775="","",MIN(Sigma!AC109:AC110))</f>
        <v>2.81932275633436</v>
      </c>
    </row>
    <row r="776" customFormat="false" ht="15" hidden="false" customHeight="true" outlineLevel="0" collapsed="false">
      <c r="A776" s="9" t="s">
        <v>256</v>
      </c>
      <c r="B776" s="11" t="s">
        <v>122</v>
      </c>
      <c r="C776" s="11" t="s">
        <v>29</v>
      </c>
      <c r="D776" s="27" t="str">
        <f aca="false">IF('TEa input'!K54="","",'TEa input'!K54)</f>
        <v/>
      </c>
      <c r="E776" s="28" t="str">
        <f aca="false">IF(D776="","",MIN(Sigma!AD109:AD110))</f>
        <v/>
      </c>
    </row>
    <row r="777" customFormat="false" ht="15" hidden="false" customHeight="true" outlineLevel="0" collapsed="false">
      <c r="A777" s="9" t="s">
        <v>256</v>
      </c>
      <c r="B777" s="11" t="s">
        <v>122</v>
      </c>
      <c r="C777" s="11" t="s">
        <v>30</v>
      </c>
      <c r="D777" s="27" t="n">
        <f aca="false">IF('TEa input'!M54="","",'TEa input'!M54)</f>
        <v>20</v>
      </c>
      <c r="E777" s="28" t="n">
        <f aca="false">IF(D777="","",MIN(Sigma!AE109:AE110))</f>
        <v>4.47691214776225</v>
      </c>
    </row>
    <row r="778" customFormat="false" ht="15" hidden="false" customHeight="true" outlineLevel="0" collapsed="false">
      <c r="A778" s="9" t="s">
        <v>256</v>
      </c>
      <c r="B778" s="11" t="s">
        <v>122</v>
      </c>
      <c r="C778" s="11" t="s">
        <v>31</v>
      </c>
      <c r="D778" s="27" t="n">
        <f aca="false">IF('TEa input'!O54="","",'TEa input'!O54)</f>
        <v>20</v>
      </c>
      <c r="E778" s="28" t="n">
        <f aca="false">IF(D778="","",MIN(Sigma!AF109:AF110))</f>
        <v>4.47691214776225</v>
      </c>
    </row>
    <row r="779" customFormat="false" ht="15" hidden="false" customHeight="true" outlineLevel="0" collapsed="false">
      <c r="A779" s="9" t="s">
        <v>256</v>
      </c>
      <c r="B779" s="11" t="s">
        <v>122</v>
      </c>
      <c r="C779" s="11" t="s">
        <v>32</v>
      </c>
      <c r="D779" s="27" t="str">
        <f aca="false">IF('TEa input'!Q54="","",'TEa input'!Q54)</f>
        <v/>
      </c>
      <c r="E779" s="28" t="str">
        <f aca="false">IF(D779="","",MIN(Sigma!AG109:AG110))</f>
        <v/>
      </c>
    </row>
    <row r="780" customFormat="false" ht="15" hidden="false" customHeight="true" outlineLevel="0" collapsed="false">
      <c r="A780" s="9" t="s">
        <v>256</v>
      </c>
      <c r="B780" s="11" t="s">
        <v>122</v>
      </c>
      <c r="C780" s="11" t="s">
        <v>33</v>
      </c>
      <c r="D780" s="27" t="str">
        <f aca="false">IF('TEa input'!R54="","",'TEa input'!R54)</f>
        <v/>
      </c>
      <c r="E780" s="28" t="str">
        <f aca="false">IF(D780="","",MIN(Sigma!AH109:AH110))</f>
        <v/>
      </c>
    </row>
    <row r="781" customFormat="false" ht="15" hidden="false" customHeight="true" outlineLevel="0" collapsed="false">
      <c r="A781" s="9" t="s">
        <v>256</v>
      </c>
      <c r="B781" s="11" t="s">
        <v>122</v>
      </c>
      <c r="C781" s="11" t="s">
        <v>34</v>
      </c>
      <c r="D781" s="27" t="str">
        <f aca="false">IF('TEa input'!T54="","",'TEa input'!T54)</f>
        <v/>
      </c>
      <c r="E781" s="28" t="str">
        <f aca="false">IF(D781="","",MIN(Sigma!AI109:AI110))</f>
        <v/>
      </c>
    </row>
    <row r="782" customFormat="false" ht="15" hidden="false" customHeight="true" outlineLevel="0" collapsed="false">
      <c r="A782" s="9" t="s">
        <v>256</v>
      </c>
      <c r="B782" s="11" t="s">
        <v>122</v>
      </c>
      <c r="C782" s="11" t="s">
        <v>320</v>
      </c>
      <c r="D782" s="27" t="str">
        <f aca="false">IF('TEa input'!Y54="","",'TEa input'!Y54)</f>
        <v/>
      </c>
      <c r="E782" s="28" t="str">
        <f aca="false">IF(D782="","",MIN(Sigma!AJ109:AJ110))</f>
        <v/>
      </c>
    </row>
    <row r="783" customFormat="false" ht="15" hidden="false" customHeight="true" outlineLevel="0" collapsed="false">
      <c r="A783" s="9" t="s">
        <v>256</v>
      </c>
      <c r="B783" s="11" t="s">
        <v>122</v>
      </c>
      <c r="C783" s="11" t="s">
        <v>321</v>
      </c>
      <c r="D783" s="27" t="str">
        <f aca="false">IF('TEa input'!Z54="","",'TEa input'!Z54)</f>
        <v/>
      </c>
      <c r="E783" s="28" t="str">
        <f aca="false">IF(D783="","",MIN(Sigma!AK109:AK110))</f>
        <v/>
      </c>
    </row>
    <row r="784" customFormat="false" ht="15" hidden="false" customHeight="true" outlineLevel="0" collapsed="false">
      <c r="A784" s="9" t="s">
        <v>256</v>
      </c>
      <c r="B784" s="11" t="s">
        <v>122</v>
      </c>
      <c r="C784" s="11" t="s">
        <v>322</v>
      </c>
      <c r="D784" s="27" t="str">
        <f aca="false">IF('TEa input'!AA54="","",'TEa input'!AA54)</f>
        <v/>
      </c>
      <c r="E784" s="28" t="str">
        <f aca="false">IF(D784="","",MIN(Sigma!AL109:AL110))</f>
        <v/>
      </c>
    </row>
    <row r="785" customFormat="false" ht="15" hidden="false" customHeight="true" outlineLevel="0" collapsed="false">
      <c r="A785" s="9" t="s">
        <v>256</v>
      </c>
      <c r="B785" s="11" t="s">
        <v>122</v>
      </c>
      <c r="C785" s="11" t="s">
        <v>323</v>
      </c>
      <c r="D785" s="27" t="str">
        <f aca="false">IF('TEa input'!AB54="","",'TEa input'!AB54)</f>
        <v/>
      </c>
      <c r="E785" s="28" t="str">
        <f aca="false">IF(D785="","",MIN(Sigma!AM109:AM110))</f>
        <v/>
      </c>
    </row>
    <row r="786" customFormat="false" ht="15" hidden="false" customHeight="true" outlineLevel="0" collapsed="false">
      <c r="A786" s="9" t="s">
        <v>256</v>
      </c>
      <c r="B786" s="11" t="s">
        <v>122</v>
      </c>
      <c r="C786" s="11" t="s">
        <v>324</v>
      </c>
      <c r="D786" s="27" t="str">
        <f aca="false">IF('TEa input'!AC54="","",'TEa input'!AC54)</f>
        <v/>
      </c>
      <c r="E786" s="28" t="str">
        <f aca="false">IF(D786="","",MIN(Sigma!AN109:AN110))</f>
        <v/>
      </c>
    </row>
    <row r="787" customFormat="false" ht="15" hidden="false" customHeight="true" outlineLevel="0" collapsed="false">
      <c r="A787" s="9" t="s">
        <v>256</v>
      </c>
      <c r="B787" s="11" t="s">
        <v>122</v>
      </c>
      <c r="C787" s="11" t="s">
        <v>325</v>
      </c>
      <c r="D787" s="27" t="str">
        <f aca="false">IF('TEa input'!AD54="","",'TEa input'!AD54)</f>
        <v/>
      </c>
      <c r="E787" s="28" t="str">
        <f aca="false">IF(D787="","",MIN(Sigma!AO109:AO110))</f>
        <v/>
      </c>
    </row>
    <row r="788" customFormat="false" ht="15" hidden="false" customHeight="true" outlineLevel="0" collapsed="false">
      <c r="A788" s="9" t="s">
        <v>256</v>
      </c>
      <c r="B788" s="11" t="s">
        <v>122</v>
      </c>
      <c r="C788" s="29" t="str">
        <f aca="false">IF('TEa input'!AE54="","Other",'TEa input'!AE54)</f>
        <v>Other</v>
      </c>
      <c r="D788" s="27" t="str">
        <f aca="false">IF('TEa input'!AF54="","",'TEa input'!AF54)</f>
        <v/>
      </c>
      <c r="E788" s="28" t="str">
        <f aca="false">IF(D788="","",MIN(Sigma!AP109:AP110))</f>
        <v/>
      </c>
    </row>
    <row r="789" customFormat="false" ht="15" hidden="false" customHeight="true" outlineLevel="0" collapsed="false">
      <c r="A789" s="9" t="s">
        <v>259</v>
      </c>
      <c r="B789" s="11" t="s">
        <v>122</v>
      </c>
      <c r="C789" s="11" t="s">
        <v>26</v>
      </c>
      <c r="D789" s="27" t="str">
        <f aca="false">IF('TEa input'!E55="","",'TEa input'!E55)</f>
        <v/>
      </c>
      <c r="E789" s="28" t="str">
        <f aca="false">IF(D789="","",MIN(Sigma!AA111:AA112))</f>
        <v/>
      </c>
    </row>
    <row r="790" customFormat="false" ht="15" hidden="false" customHeight="true" outlineLevel="0" collapsed="false">
      <c r="A790" s="9" t="s">
        <v>259</v>
      </c>
      <c r="B790" s="11" t="s">
        <v>122</v>
      </c>
      <c r="C790" s="11" t="s">
        <v>27</v>
      </c>
      <c r="D790" s="27" t="n">
        <f aca="false">IF('TEa input'!G55="","",'TEa input'!G55)</f>
        <v>30</v>
      </c>
      <c r="E790" s="28" t="n">
        <f aca="false">IF(D790="","",MIN(Sigma!AB111:AB112))</f>
        <v>7.72832067068378</v>
      </c>
    </row>
    <row r="791" customFormat="false" ht="15" hidden="false" customHeight="true" outlineLevel="0" collapsed="false">
      <c r="A791" s="9" t="s">
        <v>259</v>
      </c>
      <c r="B791" s="11" t="s">
        <v>122</v>
      </c>
      <c r="C791" s="11" t="s">
        <v>28</v>
      </c>
      <c r="D791" s="27" t="n">
        <f aca="false">IF('TEa input'!I55="","",'TEa input'!I55)</f>
        <v>15</v>
      </c>
      <c r="E791" s="28" t="n">
        <f aca="false">IF(D791="","",MIN(Sigma!AC111:AC112))</f>
        <v>3.79853287922452</v>
      </c>
    </row>
    <row r="792" customFormat="false" ht="15" hidden="false" customHeight="true" outlineLevel="0" collapsed="false">
      <c r="A792" s="9" t="s">
        <v>259</v>
      </c>
      <c r="B792" s="11" t="s">
        <v>122</v>
      </c>
      <c r="C792" s="11" t="s">
        <v>29</v>
      </c>
      <c r="D792" s="27" t="str">
        <f aca="false">IF('TEa input'!K55="","",'TEa input'!K55)</f>
        <v/>
      </c>
      <c r="E792" s="28" t="str">
        <f aca="false">IF(D792="","",MIN(Sigma!AD111:AD112))</f>
        <v/>
      </c>
    </row>
    <row r="793" customFormat="false" ht="15" hidden="false" customHeight="true" outlineLevel="0" collapsed="false">
      <c r="A793" s="9" t="s">
        <v>259</v>
      </c>
      <c r="B793" s="11" t="s">
        <v>122</v>
      </c>
      <c r="C793" s="11" t="s">
        <v>30</v>
      </c>
      <c r="D793" s="27" t="n">
        <f aca="false">IF('TEa input'!M55="","",'TEa input'!M55)</f>
        <v>20</v>
      </c>
      <c r="E793" s="28" t="n">
        <f aca="false">IF(D793="","",MIN(Sigma!AE111:AE112))</f>
        <v>5.10846214304428</v>
      </c>
    </row>
    <row r="794" customFormat="false" ht="15" hidden="false" customHeight="true" outlineLevel="0" collapsed="false">
      <c r="A794" s="9" t="s">
        <v>259</v>
      </c>
      <c r="B794" s="11" t="s">
        <v>122</v>
      </c>
      <c r="C794" s="11" t="s">
        <v>31</v>
      </c>
      <c r="D794" s="27" t="str">
        <f aca="false">IF('TEa input'!O55="","",'TEa input'!O55)</f>
        <v/>
      </c>
      <c r="E794" s="28" t="str">
        <f aca="false">IF(D794="","",MIN(Sigma!AF111:AF112))</f>
        <v/>
      </c>
    </row>
    <row r="795" customFormat="false" ht="15" hidden="false" customHeight="true" outlineLevel="0" collapsed="false">
      <c r="A795" s="9" t="s">
        <v>259</v>
      </c>
      <c r="B795" s="11" t="s">
        <v>122</v>
      </c>
      <c r="C795" s="11" t="s">
        <v>32</v>
      </c>
      <c r="D795" s="27" t="str">
        <f aca="false">IF('TEa input'!Q55="","",'TEa input'!Q55)</f>
        <v/>
      </c>
      <c r="E795" s="28" t="str">
        <f aca="false">IF(D795="","",MIN(Sigma!AG111:AG112))</f>
        <v/>
      </c>
    </row>
    <row r="796" customFormat="false" ht="15" hidden="false" customHeight="true" outlineLevel="0" collapsed="false">
      <c r="A796" s="9" t="s">
        <v>259</v>
      </c>
      <c r="B796" s="11" t="s">
        <v>122</v>
      </c>
      <c r="C796" s="11" t="s">
        <v>33</v>
      </c>
      <c r="D796" s="27" t="str">
        <f aca="false">IF('TEa input'!R55="","",'TEa input'!R55)</f>
        <v/>
      </c>
      <c r="E796" s="28" t="str">
        <f aca="false">IF(D796="","",MIN(Sigma!AH111:AH112))</f>
        <v/>
      </c>
    </row>
    <row r="797" customFormat="false" ht="15" hidden="false" customHeight="true" outlineLevel="0" collapsed="false">
      <c r="A797" s="9" t="s">
        <v>259</v>
      </c>
      <c r="B797" s="11" t="s">
        <v>122</v>
      </c>
      <c r="C797" s="11" t="s">
        <v>34</v>
      </c>
      <c r="D797" s="27" t="str">
        <f aca="false">IF('TEa input'!T55="","",'TEa input'!T55)</f>
        <v/>
      </c>
      <c r="E797" s="28" t="str">
        <f aca="false">IF(D797="","",MIN(Sigma!AI111:AI112))</f>
        <v/>
      </c>
    </row>
    <row r="798" customFormat="false" ht="15" hidden="false" customHeight="true" outlineLevel="0" collapsed="false">
      <c r="A798" s="9" t="s">
        <v>259</v>
      </c>
      <c r="B798" s="11" t="s">
        <v>122</v>
      </c>
      <c r="C798" s="11" t="s">
        <v>320</v>
      </c>
      <c r="D798" s="27" t="str">
        <f aca="false">IF('TEa input'!Y55="","",'TEa input'!Y55)</f>
        <v/>
      </c>
      <c r="E798" s="28" t="str">
        <f aca="false">IF(D798="","",MIN(Sigma!AJ111:AJ112))</f>
        <v/>
      </c>
    </row>
    <row r="799" customFormat="false" ht="15" hidden="false" customHeight="true" outlineLevel="0" collapsed="false">
      <c r="A799" s="9" t="s">
        <v>259</v>
      </c>
      <c r="B799" s="11" t="s">
        <v>122</v>
      </c>
      <c r="C799" s="11" t="s">
        <v>321</v>
      </c>
      <c r="D799" s="27" t="str">
        <f aca="false">IF('TEa input'!Z55="","",'TEa input'!Z55)</f>
        <v/>
      </c>
      <c r="E799" s="28" t="str">
        <f aca="false">IF(D799="","",MIN(Sigma!AK111:AK112))</f>
        <v/>
      </c>
    </row>
    <row r="800" customFormat="false" ht="15" hidden="false" customHeight="true" outlineLevel="0" collapsed="false">
      <c r="A800" s="9" t="s">
        <v>259</v>
      </c>
      <c r="B800" s="11" t="s">
        <v>122</v>
      </c>
      <c r="C800" s="11" t="s">
        <v>322</v>
      </c>
      <c r="D800" s="27" t="str">
        <f aca="false">IF('TEa input'!AA55="","",'TEa input'!AA55)</f>
        <v/>
      </c>
      <c r="E800" s="28" t="str">
        <f aca="false">IF(D800="","",MIN(Sigma!AL111:AL112))</f>
        <v/>
      </c>
    </row>
    <row r="801" customFormat="false" ht="15" hidden="false" customHeight="true" outlineLevel="0" collapsed="false">
      <c r="A801" s="9" t="s">
        <v>259</v>
      </c>
      <c r="B801" s="11" t="s">
        <v>122</v>
      </c>
      <c r="C801" s="11" t="s">
        <v>323</v>
      </c>
      <c r="D801" s="27" t="str">
        <f aca="false">IF('TEa input'!AB55="","",'TEa input'!AB55)</f>
        <v/>
      </c>
      <c r="E801" s="28" t="str">
        <f aca="false">IF(D801="","",MIN(Sigma!AM111:AM112))</f>
        <v/>
      </c>
    </row>
    <row r="802" customFormat="false" ht="15" hidden="false" customHeight="true" outlineLevel="0" collapsed="false">
      <c r="A802" s="9" t="s">
        <v>259</v>
      </c>
      <c r="B802" s="11" t="s">
        <v>122</v>
      </c>
      <c r="C802" s="11" t="s">
        <v>324</v>
      </c>
      <c r="D802" s="27" t="str">
        <f aca="false">IF('TEa input'!AC55="","",'TEa input'!AC55)</f>
        <v/>
      </c>
      <c r="E802" s="28" t="str">
        <f aca="false">IF(D802="","",MIN(Sigma!AN111:AN112))</f>
        <v/>
      </c>
    </row>
    <row r="803" customFormat="false" ht="15" hidden="false" customHeight="true" outlineLevel="0" collapsed="false">
      <c r="A803" s="9" t="s">
        <v>259</v>
      </c>
      <c r="B803" s="11" t="s">
        <v>122</v>
      </c>
      <c r="C803" s="11" t="s">
        <v>325</v>
      </c>
      <c r="D803" s="27" t="str">
        <f aca="false">IF('TEa input'!AD55="","",'TEa input'!AD55)</f>
        <v/>
      </c>
      <c r="E803" s="28" t="str">
        <f aca="false">IF(D803="","",MIN(Sigma!AO111:AO112))</f>
        <v/>
      </c>
    </row>
    <row r="804" customFormat="false" ht="15" hidden="false" customHeight="true" outlineLevel="0" collapsed="false">
      <c r="A804" s="9" t="s">
        <v>259</v>
      </c>
      <c r="B804" s="11" t="s">
        <v>122</v>
      </c>
      <c r="C804" s="29" t="str">
        <f aca="false">IF('TEa input'!AE55="","Other",'TEa input'!AE55)</f>
        <v>Other</v>
      </c>
      <c r="D804" s="27" t="str">
        <f aca="false">IF('TEa input'!AF55="","",'TEa input'!AF55)</f>
        <v/>
      </c>
      <c r="E804" s="28" t="str">
        <f aca="false">IF(D804="","",MIN(Sigma!AP111:AP112))</f>
        <v/>
      </c>
    </row>
    <row r="805" customFormat="false" ht="15" hidden="false" customHeight="true" outlineLevel="0" collapsed="false">
      <c r="A805" s="9" t="s">
        <v>261</v>
      </c>
      <c r="B805" s="11" t="s">
        <v>122</v>
      </c>
      <c r="C805" s="11" t="s">
        <v>26</v>
      </c>
      <c r="D805" s="27" t="str">
        <f aca="false">IF('TEa input'!E56="","",'TEa input'!E56)</f>
        <v/>
      </c>
      <c r="E805" s="28" t="str">
        <f aca="false">IF(D805="","",MIN(Sigma!AA113:AA114))</f>
        <v/>
      </c>
    </row>
    <row r="806" customFormat="false" ht="15" hidden="false" customHeight="true" outlineLevel="0" collapsed="false">
      <c r="A806" s="9" t="s">
        <v>261</v>
      </c>
      <c r="B806" s="11" t="s">
        <v>122</v>
      </c>
      <c r="C806" s="11" t="s">
        <v>27</v>
      </c>
      <c r="D806" s="27" t="n">
        <f aca="false">IF('TEa input'!G56="","",'TEa input'!G56)</f>
        <v>30</v>
      </c>
      <c r="E806" s="28" t="n">
        <f aca="false">IF(D806="","",MIN(Sigma!AB113:AB114))</f>
        <v>6.07300509337861</v>
      </c>
    </row>
    <row r="807" customFormat="false" ht="15" hidden="false" customHeight="true" outlineLevel="0" collapsed="false">
      <c r="A807" s="9" t="s">
        <v>261</v>
      </c>
      <c r="B807" s="11" t="s">
        <v>122</v>
      </c>
      <c r="C807" s="11" t="s">
        <v>28</v>
      </c>
      <c r="D807" s="27" t="str">
        <f aca="false">IF('TEa input'!I56="","",'TEa input'!I56)</f>
        <v/>
      </c>
      <c r="E807" s="28" t="str">
        <f aca="false">IF(D807="","",MIN(Sigma!AC113:AC114))</f>
        <v/>
      </c>
    </row>
    <row r="808" customFormat="false" ht="15" hidden="false" customHeight="true" outlineLevel="0" collapsed="false">
      <c r="A808" s="9" t="s">
        <v>261</v>
      </c>
      <c r="B808" s="11" t="s">
        <v>122</v>
      </c>
      <c r="C808" s="11" t="s">
        <v>29</v>
      </c>
      <c r="D808" s="27" t="str">
        <f aca="false">IF('TEa input'!K56="","",'TEa input'!K56)</f>
        <v/>
      </c>
      <c r="E808" s="28" t="str">
        <f aca="false">IF(D808="","",MIN(Sigma!AD113:AD114))</f>
        <v/>
      </c>
    </row>
    <row r="809" customFormat="false" ht="15" hidden="false" customHeight="true" outlineLevel="0" collapsed="false">
      <c r="A809" s="9" t="s">
        <v>261</v>
      </c>
      <c r="B809" s="11" t="s">
        <v>122</v>
      </c>
      <c r="C809" s="11" t="s">
        <v>30</v>
      </c>
      <c r="D809" s="27" t="n">
        <f aca="false">IF('TEa input'!M56="","",'TEa input'!M56)</f>
        <v>12</v>
      </c>
      <c r="E809" s="28" t="n">
        <f aca="false">IF(D809="","",MIN(Sigma!AE113:AE114))</f>
        <v>2.25297113752122</v>
      </c>
    </row>
    <row r="810" customFormat="false" ht="15" hidden="false" customHeight="true" outlineLevel="0" collapsed="false">
      <c r="A810" s="9" t="s">
        <v>261</v>
      </c>
      <c r="B810" s="11" t="s">
        <v>122</v>
      </c>
      <c r="C810" s="11" t="s">
        <v>31</v>
      </c>
      <c r="D810" s="27" t="n">
        <f aca="false">IF('TEa input'!O56="","",'TEa input'!O56)</f>
        <v>30</v>
      </c>
      <c r="E810" s="28" t="n">
        <f aca="false">IF(D810="","",MIN(Sigma!AF113:AF114))</f>
        <v>6.07300509337861</v>
      </c>
    </row>
    <row r="811" customFormat="false" ht="15" hidden="false" customHeight="true" outlineLevel="0" collapsed="false">
      <c r="A811" s="9" t="s">
        <v>261</v>
      </c>
      <c r="B811" s="11" t="s">
        <v>122</v>
      </c>
      <c r="C811" s="11" t="s">
        <v>32</v>
      </c>
      <c r="D811" s="27" t="str">
        <f aca="false">IF('TEa input'!Q56="","",'TEa input'!Q56)</f>
        <v/>
      </c>
      <c r="E811" s="28" t="str">
        <f aca="false">IF(D811="","",MIN(Sigma!AG113:AG114))</f>
        <v/>
      </c>
    </row>
    <row r="812" customFormat="false" ht="15" hidden="false" customHeight="true" outlineLevel="0" collapsed="false">
      <c r="A812" s="9" t="s">
        <v>261</v>
      </c>
      <c r="B812" s="11" t="s">
        <v>122</v>
      </c>
      <c r="C812" s="11" t="s">
        <v>33</v>
      </c>
      <c r="D812" s="27" t="str">
        <f aca="false">IF('TEa input'!R56="","",'TEa input'!R56)</f>
        <v/>
      </c>
      <c r="E812" s="28" t="str">
        <f aca="false">IF(D812="","",MIN(Sigma!AH113:AH114))</f>
        <v/>
      </c>
    </row>
    <row r="813" customFormat="false" ht="15" hidden="false" customHeight="true" outlineLevel="0" collapsed="false">
      <c r="A813" s="9" t="s">
        <v>261</v>
      </c>
      <c r="B813" s="11" t="s">
        <v>122</v>
      </c>
      <c r="C813" s="11" t="s">
        <v>34</v>
      </c>
      <c r="D813" s="27" t="str">
        <f aca="false">IF('TEa input'!T56="","",'TEa input'!T56)</f>
        <v/>
      </c>
      <c r="E813" s="28" t="str">
        <f aca="false">IF(D813="","",MIN(Sigma!AI113:AI114))</f>
        <v/>
      </c>
    </row>
    <row r="814" customFormat="false" ht="15" hidden="false" customHeight="true" outlineLevel="0" collapsed="false">
      <c r="A814" s="9" t="s">
        <v>261</v>
      </c>
      <c r="B814" s="11" t="s">
        <v>122</v>
      </c>
      <c r="C814" s="11" t="s">
        <v>320</v>
      </c>
      <c r="D814" s="27" t="str">
        <f aca="false">IF('TEa input'!Y56="","",'TEa input'!Y56)</f>
        <v/>
      </c>
      <c r="E814" s="28" t="str">
        <f aca="false">IF(D814="","",MIN(Sigma!AJ113:AJ114))</f>
        <v/>
      </c>
    </row>
    <row r="815" customFormat="false" ht="15" hidden="false" customHeight="true" outlineLevel="0" collapsed="false">
      <c r="A815" s="9" t="s">
        <v>261</v>
      </c>
      <c r="B815" s="11" t="s">
        <v>122</v>
      </c>
      <c r="C815" s="11" t="s">
        <v>321</v>
      </c>
      <c r="D815" s="27" t="str">
        <f aca="false">IF('TEa input'!Z56="","",'TEa input'!Z56)</f>
        <v/>
      </c>
      <c r="E815" s="28" t="str">
        <f aca="false">IF(D815="","",MIN(Sigma!AK113:AK114))</f>
        <v/>
      </c>
    </row>
    <row r="816" customFormat="false" ht="15" hidden="false" customHeight="true" outlineLevel="0" collapsed="false">
      <c r="A816" s="9" t="s">
        <v>261</v>
      </c>
      <c r="B816" s="11" t="s">
        <v>122</v>
      </c>
      <c r="C816" s="11" t="s">
        <v>322</v>
      </c>
      <c r="D816" s="27" t="str">
        <f aca="false">IF('TEa input'!AA56="","",'TEa input'!AA56)</f>
        <v/>
      </c>
      <c r="E816" s="28" t="str">
        <f aca="false">IF(D816="","",MIN(Sigma!AL113:AL114))</f>
        <v/>
      </c>
    </row>
    <row r="817" customFormat="false" ht="15" hidden="false" customHeight="true" outlineLevel="0" collapsed="false">
      <c r="A817" s="9" t="s">
        <v>261</v>
      </c>
      <c r="B817" s="11" t="s">
        <v>122</v>
      </c>
      <c r="C817" s="11" t="s">
        <v>323</v>
      </c>
      <c r="D817" s="27" t="str">
        <f aca="false">IF('TEa input'!AB56="","",'TEa input'!AB56)</f>
        <v/>
      </c>
      <c r="E817" s="28" t="str">
        <f aca="false">IF(D817="","",MIN(Sigma!AM113:AM114))</f>
        <v/>
      </c>
    </row>
    <row r="818" customFormat="false" ht="15" hidden="false" customHeight="true" outlineLevel="0" collapsed="false">
      <c r="A818" s="9" t="s">
        <v>261</v>
      </c>
      <c r="B818" s="11" t="s">
        <v>122</v>
      </c>
      <c r="C818" s="11" t="s">
        <v>324</v>
      </c>
      <c r="D818" s="27" t="str">
        <f aca="false">IF('TEa input'!AC56="","",'TEa input'!AC56)</f>
        <v/>
      </c>
      <c r="E818" s="28" t="str">
        <f aca="false">IF(D818="","",MIN(Sigma!AN113:AN114))</f>
        <v/>
      </c>
    </row>
    <row r="819" customFormat="false" ht="15" hidden="false" customHeight="true" outlineLevel="0" collapsed="false">
      <c r="A819" s="9" t="s">
        <v>261</v>
      </c>
      <c r="B819" s="11" t="s">
        <v>122</v>
      </c>
      <c r="C819" s="11" t="s">
        <v>325</v>
      </c>
      <c r="D819" s="27" t="str">
        <f aca="false">IF('TEa input'!AD56="","",'TEa input'!AD56)</f>
        <v/>
      </c>
      <c r="E819" s="28" t="str">
        <f aca="false">IF(D819="","",MIN(Sigma!AO113:AO114))</f>
        <v/>
      </c>
    </row>
    <row r="820" customFormat="false" ht="15" hidden="false" customHeight="true" outlineLevel="0" collapsed="false">
      <c r="A820" s="9" t="s">
        <v>261</v>
      </c>
      <c r="B820" s="11" t="s">
        <v>122</v>
      </c>
      <c r="C820" s="29" t="str">
        <f aca="false">IF('TEa input'!AE56="","Other",'TEa input'!AE56)</f>
        <v>Other</v>
      </c>
      <c r="D820" s="27" t="str">
        <f aca="false">IF('TEa input'!AF56="","",'TEa input'!AF56)</f>
        <v/>
      </c>
      <c r="E820" s="28" t="str">
        <f aca="false">IF(D820="","",MIN(Sigma!AP113:AP114))</f>
        <v/>
      </c>
    </row>
    <row r="821" customFormat="false" ht="15" hidden="false" customHeight="true" outlineLevel="0" collapsed="false">
      <c r="A821" s="9" t="s">
        <v>265</v>
      </c>
      <c r="B821" s="11" t="s">
        <v>122</v>
      </c>
      <c r="C821" s="11" t="s">
        <v>26</v>
      </c>
      <c r="D821" s="27" t="str">
        <f aca="false">IF('TEa input'!E57="","",'TEa input'!E57)</f>
        <v/>
      </c>
      <c r="E821" s="28" t="str">
        <f aca="false">IF(D821="","",MIN(Sigma!AA115:AA116))</f>
        <v/>
      </c>
    </row>
    <row r="822" customFormat="false" ht="15" hidden="false" customHeight="true" outlineLevel="0" collapsed="false">
      <c r="A822" s="9" t="s">
        <v>265</v>
      </c>
      <c r="B822" s="11" t="s">
        <v>122</v>
      </c>
      <c r="C822" s="11" t="s">
        <v>27</v>
      </c>
      <c r="D822" s="27" t="n">
        <f aca="false">IF('TEa input'!G57="","",'TEa input'!G57)</f>
        <v>25</v>
      </c>
      <c r="E822" s="28" t="n">
        <f aca="false">IF(D822="","",MIN(Sigma!AB115:AB116))</f>
        <v>4.85541066117593</v>
      </c>
    </row>
    <row r="823" customFormat="false" ht="15" hidden="false" customHeight="true" outlineLevel="0" collapsed="false">
      <c r="A823" s="9" t="s">
        <v>265</v>
      </c>
      <c r="B823" s="11" t="s">
        <v>122</v>
      </c>
      <c r="C823" s="11" t="s">
        <v>28</v>
      </c>
      <c r="D823" s="27" t="n">
        <f aca="false">IF('TEa input'!I57="","",'TEa input'!I57)</f>
        <v>25</v>
      </c>
      <c r="E823" s="28" t="n">
        <f aca="false">IF(D823="","",MIN(Sigma!AC115:AC116))</f>
        <v>4.85541066117593</v>
      </c>
    </row>
    <row r="824" customFormat="false" ht="15" hidden="false" customHeight="true" outlineLevel="0" collapsed="false">
      <c r="A824" s="9" t="s">
        <v>265</v>
      </c>
      <c r="B824" s="11" t="s">
        <v>122</v>
      </c>
      <c r="C824" s="11" t="s">
        <v>29</v>
      </c>
      <c r="D824" s="27" t="str">
        <f aca="false">IF('TEa input'!K57="","",'TEa input'!K57)</f>
        <v/>
      </c>
      <c r="E824" s="28" t="str">
        <f aca="false">IF(D824="","",MIN(Sigma!AD115:AD116))</f>
        <v/>
      </c>
    </row>
    <row r="825" customFormat="false" ht="15" hidden="false" customHeight="true" outlineLevel="0" collapsed="false">
      <c r="A825" s="9" t="s">
        <v>265</v>
      </c>
      <c r="B825" s="11" t="s">
        <v>122</v>
      </c>
      <c r="C825" s="11" t="s">
        <v>30</v>
      </c>
      <c r="D825" s="27" t="n">
        <f aca="false">IF('TEa input'!M57="","",'TEa input'!M57)</f>
        <v>15</v>
      </c>
      <c r="E825" s="28" t="n">
        <f aca="false">IF(D825="","",MIN(Sigma!AE115:AE116))</f>
        <v>2.56760466712423</v>
      </c>
    </row>
    <row r="826" customFormat="false" ht="15" hidden="false" customHeight="true" outlineLevel="0" collapsed="false">
      <c r="A826" s="9" t="s">
        <v>265</v>
      </c>
      <c r="B826" s="11" t="s">
        <v>122</v>
      </c>
      <c r="C826" s="11" t="s">
        <v>31</v>
      </c>
      <c r="D826" s="27" t="str">
        <f aca="false">IF('TEa input'!O57="","",'TEa input'!O57)</f>
        <v/>
      </c>
      <c r="E826" s="28" t="str">
        <f aca="false">IF(D826="","",MIN(Sigma!AF115:AF116))</f>
        <v/>
      </c>
    </row>
    <row r="827" customFormat="false" ht="15" hidden="false" customHeight="true" outlineLevel="0" collapsed="false">
      <c r="A827" s="9" t="s">
        <v>265</v>
      </c>
      <c r="B827" s="11" t="s">
        <v>122</v>
      </c>
      <c r="C827" s="11" t="s">
        <v>32</v>
      </c>
      <c r="D827" s="27" t="str">
        <f aca="false">IF('TEa input'!Q57="","",'TEa input'!Q57)</f>
        <v/>
      </c>
      <c r="E827" s="28" t="str">
        <f aca="false">IF(D827="","",MIN(Sigma!AG115:AG116))</f>
        <v/>
      </c>
    </row>
    <row r="828" customFormat="false" ht="15" hidden="false" customHeight="true" outlineLevel="0" collapsed="false">
      <c r="A828" s="9" t="s">
        <v>265</v>
      </c>
      <c r="B828" s="11" t="s">
        <v>122</v>
      </c>
      <c r="C828" s="11" t="s">
        <v>33</v>
      </c>
      <c r="D828" s="27" t="str">
        <f aca="false">IF('TEa input'!R57="","",'TEa input'!R57)</f>
        <v/>
      </c>
      <c r="E828" s="28" t="str">
        <f aca="false">IF(D828="","",MIN(Sigma!AH115:AH116))</f>
        <v/>
      </c>
    </row>
    <row r="829" customFormat="false" ht="15" hidden="false" customHeight="true" outlineLevel="0" collapsed="false">
      <c r="A829" s="9" t="s">
        <v>265</v>
      </c>
      <c r="B829" s="11" t="s">
        <v>122</v>
      </c>
      <c r="C829" s="11" t="s">
        <v>34</v>
      </c>
      <c r="D829" s="27" t="n">
        <f aca="false">IF('TEa input'!T57="","",'TEa input'!T57)</f>
        <v>25</v>
      </c>
      <c r="E829" s="28" t="n">
        <f aca="false">IF(D829="","",MIN(Sigma!AI115:AI116))</f>
        <v>4.85541066117593</v>
      </c>
    </row>
    <row r="830" customFormat="false" ht="15" hidden="false" customHeight="true" outlineLevel="0" collapsed="false">
      <c r="A830" s="9" t="s">
        <v>265</v>
      </c>
      <c r="B830" s="11" t="s">
        <v>122</v>
      </c>
      <c r="C830" s="11" t="s">
        <v>320</v>
      </c>
      <c r="D830" s="27" t="str">
        <f aca="false">IF('TEa input'!Y57="","",'TEa input'!Y57)</f>
        <v/>
      </c>
      <c r="E830" s="28" t="str">
        <f aca="false">IF(D830="","",MIN(Sigma!AJ115:AJ116))</f>
        <v/>
      </c>
    </row>
    <row r="831" customFormat="false" ht="15" hidden="false" customHeight="true" outlineLevel="0" collapsed="false">
      <c r="A831" s="9" t="s">
        <v>265</v>
      </c>
      <c r="B831" s="11" t="s">
        <v>122</v>
      </c>
      <c r="C831" s="11" t="s">
        <v>321</v>
      </c>
      <c r="D831" s="27" t="str">
        <f aca="false">IF('TEa input'!Z57="","",'TEa input'!Z57)</f>
        <v/>
      </c>
      <c r="E831" s="28" t="str">
        <f aca="false">IF(D831="","",MIN(Sigma!AK115:AK116))</f>
        <v/>
      </c>
    </row>
    <row r="832" customFormat="false" ht="15" hidden="false" customHeight="true" outlineLevel="0" collapsed="false">
      <c r="A832" s="9" t="s">
        <v>265</v>
      </c>
      <c r="B832" s="11" t="s">
        <v>122</v>
      </c>
      <c r="C832" s="11" t="s">
        <v>322</v>
      </c>
      <c r="D832" s="27" t="str">
        <f aca="false">IF('TEa input'!AA57="","",'TEa input'!AA57)</f>
        <v/>
      </c>
      <c r="E832" s="28" t="str">
        <f aca="false">IF(D832="","",MIN(Sigma!AL115:AL116))</f>
        <v/>
      </c>
    </row>
    <row r="833" customFormat="false" ht="15" hidden="false" customHeight="true" outlineLevel="0" collapsed="false">
      <c r="A833" s="9" t="s">
        <v>265</v>
      </c>
      <c r="B833" s="11" t="s">
        <v>122</v>
      </c>
      <c r="C833" s="11" t="s">
        <v>323</v>
      </c>
      <c r="D833" s="27" t="str">
        <f aca="false">IF('TEa input'!AB57="","",'TEa input'!AB57)</f>
        <v/>
      </c>
      <c r="E833" s="28" t="str">
        <f aca="false">IF(D833="","",MIN(Sigma!AM115:AM116))</f>
        <v/>
      </c>
    </row>
    <row r="834" customFormat="false" ht="15" hidden="false" customHeight="true" outlineLevel="0" collapsed="false">
      <c r="A834" s="9" t="s">
        <v>265</v>
      </c>
      <c r="B834" s="11" t="s">
        <v>122</v>
      </c>
      <c r="C834" s="11" t="s">
        <v>324</v>
      </c>
      <c r="D834" s="27" t="str">
        <f aca="false">IF('TEa input'!AC57="","",'TEa input'!AC57)</f>
        <v/>
      </c>
      <c r="E834" s="28" t="str">
        <f aca="false">IF(D834="","",MIN(Sigma!AN115:AN116))</f>
        <v/>
      </c>
    </row>
    <row r="835" customFormat="false" ht="15" hidden="false" customHeight="true" outlineLevel="0" collapsed="false">
      <c r="A835" s="9" t="s">
        <v>265</v>
      </c>
      <c r="B835" s="11" t="s">
        <v>122</v>
      </c>
      <c r="C835" s="11" t="s">
        <v>325</v>
      </c>
      <c r="D835" s="27" t="str">
        <f aca="false">IF('TEa input'!AD57="","",'TEa input'!AD57)</f>
        <v/>
      </c>
      <c r="E835" s="28" t="str">
        <f aca="false">IF(D835="","",MIN(Sigma!AO115:AO116))</f>
        <v/>
      </c>
    </row>
    <row r="836" customFormat="false" ht="15" hidden="false" customHeight="true" outlineLevel="0" collapsed="false">
      <c r="A836" s="9" t="s">
        <v>265</v>
      </c>
      <c r="B836" s="11" t="s">
        <v>122</v>
      </c>
      <c r="C836" s="29" t="str">
        <f aca="false">IF('TEa input'!AE57="","Other",'TEa input'!AE57)</f>
        <v>Other</v>
      </c>
      <c r="D836" s="27" t="str">
        <f aca="false">IF('TEa input'!AF57="","",'TEa input'!AF57)</f>
        <v/>
      </c>
      <c r="E836" s="28" t="str">
        <f aca="false">IF(D836="","",MIN(Sigma!AP115:AP116))</f>
        <v/>
      </c>
    </row>
    <row r="837" customFormat="false" ht="15" hidden="false" customHeight="true" outlineLevel="0" collapsed="false">
      <c r="A837" s="9" t="s">
        <v>269</v>
      </c>
      <c r="B837" s="11" t="s">
        <v>122</v>
      </c>
      <c r="C837" s="11" t="s">
        <v>26</v>
      </c>
      <c r="D837" s="27" t="str">
        <f aca="false">IF('TEa input'!E58="","",'TEa input'!E58)</f>
        <v/>
      </c>
      <c r="E837" s="28" t="str">
        <f aca="false">IF(D837="","",MIN(Sigma!AA117:AA118))</f>
        <v/>
      </c>
    </row>
    <row r="838" customFormat="false" ht="15" hidden="false" customHeight="true" outlineLevel="0" collapsed="false">
      <c r="A838" s="9" t="s">
        <v>269</v>
      </c>
      <c r="B838" s="11" t="s">
        <v>122</v>
      </c>
      <c r="C838" s="11" t="s">
        <v>27</v>
      </c>
      <c r="D838" s="27" t="str">
        <f aca="false">IF('TEa input'!G58="","",'TEa input'!G58)</f>
        <v/>
      </c>
      <c r="E838" s="28" t="str">
        <f aca="false">IF(D838="","",MIN(Sigma!AB117:AB118))</f>
        <v/>
      </c>
    </row>
    <row r="839" customFormat="false" ht="15" hidden="false" customHeight="true" outlineLevel="0" collapsed="false">
      <c r="A839" s="9" t="s">
        <v>269</v>
      </c>
      <c r="B839" s="11" t="s">
        <v>122</v>
      </c>
      <c r="C839" s="11" t="s">
        <v>28</v>
      </c>
      <c r="D839" s="27" t="str">
        <f aca="false">IF('TEa input'!I58="","",'TEa input'!I58)</f>
        <v/>
      </c>
      <c r="E839" s="28" t="str">
        <f aca="false">IF(D839="","",MIN(Sigma!AC117:AC118))</f>
        <v/>
      </c>
    </row>
    <row r="840" customFormat="false" ht="15" hidden="false" customHeight="true" outlineLevel="0" collapsed="false">
      <c r="A840" s="9" t="s">
        <v>269</v>
      </c>
      <c r="B840" s="11" t="s">
        <v>122</v>
      </c>
      <c r="C840" s="11" t="s">
        <v>29</v>
      </c>
      <c r="D840" s="27" t="str">
        <f aca="false">IF('TEa input'!K58="","",'TEa input'!K58)</f>
        <v/>
      </c>
      <c r="E840" s="28" t="str">
        <f aca="false">IF(D840="","",MIN(Sigma!AD117:AD118))</f>
        <v/>
      </c>
    </row>
    <row r="841" customFormat="false" ht="15" hidden="false" customHeight="true" outlineLevel="0" collapsed="false">
      <c r="A841" s="9" t="s">
        <v>269</v>
      </c>
      <c r="B841" s="11" t="s">
        <v>122</v>
      </c>
      <c r="C841" s="11" t="s">
        <v>30</v>
      </c>
      <c r="D841" s="27" t="str">
        <f aca="false">IF('TEa input'!M58="","",'TEa input'!M58)</f>
        <v/>
      </c>
      <c r="E841" s="28" t="str">
        <f aca="false">IF(D841="","",MIN(Sigma!AE117:AE118))</f>
        <v/>
      </c>
    </row>
    <row r="842" customFormat="false" ht="15" hidden="false" customHeight="true" outlineLevel="0" collapsed="false">
      <c r="A842" s="9" t="s">
        <v>269</v>
      </c>
      <c r="B842" s="11" t="s">
        <v>122</v>
      </c>
      <c r="C842" s="11" t="s">
        <v>31</v>
      </c>
      <c r="D842" s="27" t="str">
        <f aca="false">IF('TEa input'!O58="","",'TEa input'!O58)</f>
        <v/>
      </c>
      <c r="E842" s="28" t="str">
        <f aca="false">IF(D842="","",MIN(Sigma!AF117:AF118))</f>
        <v/>
      </c>
    </row>
    <row r="843" customFormat="false" ht="15" hidden="false" customHeight="true" outlineLevel="0" collapsed="false">
      <c r="A843" s="9" t="s">
        <v>269</v>
      </c>
      <c r="B843" s="11" t="s">
        <v>122</v>
      </c>
      <c r="C843" s="11" t="s">
        <v>32</v>
      </c>
      <c r="D843" s="27" t="str">
        <f aca="false">IF('TEa input'!Q58="","",'TEa input'!Q58)</f>
        <v/>
      </c>
      <c r="E843" s="28" t="str">
        <f aca="false">IF(D843="","",MIN(Sigma!AG117:AG118))</f>
        <v/>
      </c>
    </row>
    <row r="844" customFormat="false" ht="15" hidden="false" customHeight="true" outlineLevel="0" collapsed="false">
      <c r="A844" s="9" t="s">
        <v>269</v>
      </c>
      <c r="B844" s="11" t="s">
        <v>122</v>
      </c>
      <c r="C844" s="11" t="s">
        <v>33</v>
      </c>
      <c r="D844" s="27" t="str">
        <f aca="false">IF('TEa input'!R58="","",'TEa input'!R58)</f>
        <v/>
      </c>
      <c r="E844" s="28" t="str">
        <f aca="false">IF(D844="","",MIN(Sigma!AH117:AH118))</f>
        <v/>
      </c>
    </row>
    <row r="845" customFormat="false" ht="15" hidden="false" customHeight="true" outlineLevel="0" collapsed="false">
      <c r="A845" s="9" t="s">
        <v>269</v>
      </c>
      <c r="B845" s="11" t="s">
        <v>122</v>
      </c>
      <c r="C845" s="11" t="s">
        <v>34</v>
      </c>
      <c r="D845" s="27" t="str">
        <f aca="false">IF('TEa input'!T58="","",'TEa input'!T58)</f>
        <v/>
      </c>
      <c r="E845" s="28" t="str">
        <f aca="false">IF(D845="","",MIN(Sigma!AI117:AI118))</f>
        <v/>
      </c>
    </row>
    <row r="846" customFormat="false" ht="15" hidden="false" customHeight="true" outlineLevel="0" collapsed="false">
      <c r="A846" s="9" t="s">
        <v>269</v>
      </c>
      <c r="B846" s="11" t="s">
        <v>122</v>
      </c>
      <c r="C846" s="11" t="s">
        <v>320</v>
      </c>
      <c r="D846" s="27" t="str">
        <f aca="false">IF('TEa input'!Y58="","",'TEa input'!Y58)</f>
        <v/>
      </c>
      <c r="E846" s="28" t="str">
        <f aca="false">IF(D846="","",MIN(Sigma!AJ117:AJ118))</f>
        <v/>
      </c>
    </row>
    <row r="847" customFormat="false" ht="15" hidden="false" customHeight="true" outlineLevel="0" collapsed="false">
      <c r="A847" s="9" t="s">
        <v>269</v>
      </c>
      <c r="B847" s="11" t="s">
        <v>122</v>
      </c>
      <c r="C847" s="11" t="s">
        <v>321</v>
      </c>
      <c r="D847" s="27" t="str">
        <f aca="false">IF('TEa input'!Z58="","",'TEa input'!Z58)</f>
        <v/>
      </c>
      <c r="E847" s="28" t="str">
        <f aca="false">IF(D847="","",MIN(Sigma!AK117:AK118))</f>
        <v/>
      </c>
    </row>
    <row r="848" customFormat="false" ht="15" hidden="false" customHeight="true" outlineLevel="0" collapsed="false">
      <c r="A848" s="9" t="s">
        <v>269</v>
      </c>
      <c r="B848" s="11" t="s">
        <v>122</v>
      </c>
      <c r="C848" s="11" t="s">
        <v>322</v>
      </c>
      <c r="D848" s="27" t="str">
        <f aca="false">IF('TEa input'!AA58="","",'TEa input'!AA58)</f>
        <v/>
      </c>
      <c r="E848" s="28" t="str">
        <f aca="false">IF(D848="","",MIN(Sigma!AL117:AL118))</f>
        <v/>
      </c>
    </row>
    <row r="849" customFormat="false" ht="15" hidden="false" customHeight="true" outlineLevel="0" collapsed="false">
      <c r="A849" s="9" t="s">
        <v>269</v>
      </c>
      <c r="B849" s="11" t="s">
        <v>122</v>
      </c>
      <c r="C849" s="11" t="s">
        <v>323</v>
      </c>
      <c r="D849" s="27" t="str">
        <f aca="false">IF('TEa input'!AB58="","",'TEa input'!AB58)</f>
        <v/>
      </c>
      <c r="E849" s="28" t="str">
        <f aca="false">IF(D849="","",MIN(Sigma!AM117:AM118))</f>
        <v/>
      </c>
    </row>
    <row r="850" customFormat="false" ht="15" hidden="false" customHeight="true" outlineLevel="0" collapsed="false">
      <c r="A850" s="9" t="s">
        <v>269</v>
      </c>
      <c r="B850" s="11" t="s">
        <v>122</v>
      </c>
      <c r="C850" s="11" t="s">
        <v>324</v>
      </c>
      <c r="D850" s="27" t="str">
        <f aca="false">IF('TEa input'!AC58="","",'TEa input'!AC58)</f>
        <v/>
      </c>
      <c r="E850" s="28" t="str">
        <f aca="false">IF(D850="","",MIN(Sigma!AN117:AN118))</f>
        <v/>
      </c>
    </row>
    <row r="851" customFormat="false" ht="15" hidden="false" customHeight="true" outlineLevel="0" collapsed="false">
      <c r="A851" s="9" t="s">
        <v>269</v>
      </c>
      <c r="B851" s="11" t="s">
        <v>122</v>
      </c>
      <c r="C851" s="11" t="s">
        <v>325</v>
      </c>
      <c r="D851" s="27" t="str">
        <f aca="false">IF('TEa input'!AD58="","",'TEa input'!AD58)</f>
        <v/>
      </c>
      <c r="E851" s="28" t="str">
        <f aca="false">IF(D851="","",MIN(Sigma!AO117:AO118))</f>
        <v/>
      </c>
    </row>
    <row r="852" customFormat="false" ht="15" hidden="false" customHeight="true" outlineLevel="0" collapsed="false">
      <c r="A852" s="9" t="s">
        <v>269</v>
      </c>
      <c r="B852" s="11" t="s">
        <v>122</v>
      </c>
      <c r="C852" s="29" t="str">
        <f aca="false">IF('TEa input'!AE58="","Other",'TEa input'!AE58)</f>
        <v>Other</v>
      </c>
      <c r="D852" s="27" t="str">
        <f aca="false">IF('TEa input'!AF58="","",'TEa input'!AF58)</f>
        <v/>
      </c>
      <c r="E852" s="28" t="str">
        <f aca="false">IF(D852="","",MIN(Sigma!AP117:AP118))</f>
        <v/>
      </c>
    </row>
    <row r="853" customFormat="false" ht="15" hidden="false" customHeight="true" outlineLevel="0" collapsed="false">
      <c r="A853" s="9" t="s">
        <v>270</v>
      </c>
      <c r="B853" s="11" t="s">
        <v>122</v>
      </c>
      <c r="C853" s="11" t="s">
        <v>26</v>
      </c>
      <c r="D853" s="27" t="str">
        <f aca="false">IF('TEa input'!E59="","",'TEa input'!E59)</f>
        <v/>
      </c>
      <c r="E853" s="28" t="str">
        <f aca="false">IF(D853="","",MIN(Sigma!AA119:AA120))</f>
        <v/>
      </c>
    </row>
    <row r="854" customFormat="false" ht="15" hidden="false" customHeight="true" outlineLevel="0" collapsed="false">
      <c r="A854" s="9" t="s">
        <v>270</v>
      </c>
      <c r="B854" s="11" t="s">
        <v>122</v>
      </c>
      <c r="C854" s="11" t="s">
        <v>27</v>
      </c>
      <c r="D854" s="27" t="n">
        <f aca="false">IF('TEa input'!G59="","",'TEa input'!G59)</f>
        <v>30</v>
      </c>
      <c r="E854" s="28" t="n">
        <f aca="false">IF(D854="","",MIN(Sigma!AB119:AB120))</f>
        <v>2.27696651875756</v>
      </c>
    </row>
    <row r="855" customFormat="false" ht="15" hidden="false" customHeight="true" outlineLevel="0" collapsed="false">
      <c r="A855" s="9" t="s">
        <v>270</v>
      </c>
      <c r="B855" s="11" t="s">
        <v>122</v>
      </c>
      <c r="C855" s="11" t="s">
        <v>28</v>
      </c>
      <c r="D855" s="27" t="n">
        <f aca="false">IF('TEa input'!I59="","",'TEa input'!I59)</f>
        <v>25</v>
      </c>
      <c r="E855" s="28" t="n">
        <f aca="false">IF(D855="","",MIN(Sigma!AC119:AC120))</f>
        <v>1.87357805566761</v>
      </c>
    </row>
    <row r="856" customFormat="false" ht="15" hidden="false" customHeight="true" outlineLevel="0" collapsed="false">
      <c r="A856" s="9" t="s">
        <v>270</v>
      </c>
      <c r="B856" s="11" t="s">
        <v>122</v>
      </c>
      <c r="C856" s="11" t="s">
        <v>29</v>
      </c>
      <c r="D856" s="27" t="str">
        <f aca="false">IF('TEa input'!K59="","",'TEa input'!K59)</f>
        <v/>
      </c>
      <c r="E856" s="28" t="str">
        <f aca="false">IF(D856="","",MIN(Sigma!AD119:AD120))</f>
        <v/>
      </c>
    </row>
    <row r="857" customFormat="false" ht="15" hidden="false" customHeight="true" outlineLevel="0" collapsed="false">
      <c r="A857" s="9" t="s">
        <v>270</v>
      </c>
      <c r="B857" s="11" t="s">
        <v>122</v>
      </c>
      <c r="C857" s="11" t="s">
        <v>30</v>
      </c>
      <c r="D857" s="27" t="n">
        <f aca="false">IF('TEa input'!M59="","",'TEa input'!M59)</f>
        <v>25</v>
      </c>
      <c r="E857" s="28" t="n">
        <f aca="false">IF(D857="","",MIN(Sigma!AE119:AE120))</f>
        <v>1.87357805566761</v>
      </c>
    </row>
    <row r="858" customFormat="false" ht="15" hidden="false" customHeight="true" outlineLevel="0" collapsed="false">
      <c r="A858" s="9" t="s">
        <v>270</v>
      </c>
      <c r="B858" s="11" t="s">
        <v>122</v>
      </c>
      <c r="C858" s="11" t="s">
        <v>31</v>
      </c>
      <c r="D858" s="27" t="n">
        <f aca="false">IF('TEa input'!O59="","",'TEa input'!O59)</f>
        <v>30</v>
      </c>
      <c r="E858" s="28" t="n">
        <f aca="false">IF(D858="","",MIN(Sigma!AF119:AF120))</f>
        <v>2.27696651875756</v>
      </c>
    </row>
    <row r="859" customFormat="false" ht="15" hidden="false" customHeight="true" outlineLevel="0" collapsed="false">
      <c r="A859" s="9" t="s">
        <v>270</v>
      </c>
      <c r="B859" s="11" t="s">
        <v>122</v>
      </c>
      <c r="C859" s="11" t="s">
        <v>32</v>
      </c>
      <c r="D859" s="27" t="str">
        <f aca="false">IF('TEa input'!Q59="","",'TEa input'!Q59)</f>
        <v/>
      </c>
      <c r="E859" s="28" t="str">
        <f aca="false">IF(D859="","",MIN(Sigma!AG119:AG120))</f>
        <v/>
      </c>
    </row>
    <row r="860" customFormat="false" ht="15" hidden="false" customHeight="true" outlineLevel="0" collapsed="false">
      <c r="A860" s="9" t="s">
        <v>270</v>
      </c>
      <c r="B860" s="11" t="s">
        <v>122</v>
      </c>
      <c r="C860" s="11" t="s">
        <v>33</v>
      </c>
      <c r="D860" s="27" t="str">
        <f aca="false">IF('TEa input'!R59="","",'TEa input'!R59)</f>
        <v/>
      </c>
      <c r="E860" s="28" t="str">
        <f aca="false">IF(D860="","",MIN(Sigma!AH119:AH120))</f>
        <v/>
      </c>
    </row>
    <row r="861" customFormat="false" ht="15" hidden="false" customHeight="true" outlineLevel="0" collapsed="false">
      <c r="A861" s="9" t="s">
        <v>270</v>
      </c>
      <c r="B861" s="11" t="s">
        <v>122</v>
      </c>
      <c r="C861" s="11" t="s">
        <v>34</v>
      </c>
      <c r="D861" s="27" t="str">
        <f aca="false">IF('TEa input'!T59="","",'TEa input'!T59)</f>
        <v/>
      </c>
      <c r="E861" s="28" t="str">
        <f aca="false">IF(D861="","",MIN(Sigma!AI119:AI120))</f>
        <v/>
      </c>
    </row>
    <row r="862" customFormat="false" ht="15" hidden="false" customHeight="true" outlineLevel="0" collapsed="false">
      <c r="A862" s="9" t="s">
        <v>270</v>
      </c>
      <c r="B862" s="11" t="s">
        <v>122</v>
      </c>
      <c r="C862" s="11" t="s">
        <v>320</v>
      </c>
      <c r="D862" s="27" t="str">
        <f aca="false">IF('TEa input'!Y59="","",'TEa input'!Y59)</f>
        <v/>
      </c>
      <c r="E862" s="28" t="str">
        <f aca="false">IF(D862="","",MIN(Sigma!AJ119:AJ120))</f>
        <v/>
      </c>
    </row>
    <row r="863" customFormat="false" ht="15" hidden="false" customHeight="true" outlineLevel="0" collapsed="false">
      <c r="A863" s="9" t="s">
        <v>270</v>
      </c>
      <c r="B863" s="11" t="s">
        <v>122</v>
      </c>
      <c r="C863" s="11" t="s">
        <v>321</v>
      </c>
      <c r="D863" s="27" t="str">
        <f aca="false">IF('TEa input'!Z59="","",'TEa input'!Z59)</f>
        <v/>
      </c>
      <c r="E863" s="28" t="str">
        <f aca="false">IF(D863="","",MIN(Sigma!AK119:AK120))</f>
        <v/>
      </c>
    </row>
    <row r="864" customFormat="false" ht="15" hidden="false" customHeight="true" outlineLevel="0" collapsed="false">
      <c r="A864" s="9" t="s">
        <v>270</v>
      </c>
      <c r="B864" s="11" t="s">
        <v>122</v>
      </c>
      <c r="C864" s="11" t="s">
        <v>322</v>
      </c>
      <c r="D864" s="27" t="str">
        <f aca="false">IF('TEa input'!AA59="","",'TEa input'!AA59)</f>
        <v/>
      </c>
      <c r="E864" s="28" t="str">
        <f aca="false">IF(D864="","",MIN(Sigma!AL119:AL120))</f>
        <v/>
      </c>
    </row>
    <row r="865" customFormat="false" ht="15" hidden="false" customHeight="true" outlineLevel="0" collapsed="false">
      <c r="A865" s="9" t="s">
        <v>270</v>
      </c>
      <c r="B865" s="11" t="s">
        <v>122</v>
      </c>
      <c r="C865" s="11" t="s">
        <v>323</v>
      </c>
      <c r="D865" s="27" t="str">
        <f aca="false">IF('TEa input'!AB59="","",'TEa input'!AB59)</f>
        <v/>
      </c>
      <c r="E865" s="28" t="str">
        <f aca="false">IF(D865="","",MIN(Sigma!AM119:AM120))</f>
        <v/>
      </c>
    </row>
    <row r="866" customFormat="false" ht="15" hidden="false" customHeight="true" outlineLevel="0" collapsed="false">
      <c r="A866" s="9" t="s">
        <v>270</v>
      </c>
      <c r="B866" s="11" t="s">
        <v>122</v>
      </c>
      <c r="C866" s="11" t="s">
        <v>324</v>
      </c>
      <c r="D866" s="27" t="str">
        <f aca="false">IF('TEa input'!AC59="","",'TEa input'!AC59)</f>
        <v/>
      </c>
      <c r="E866" s="28" t="str">
        <f aca="false">IF(D866="","",MIN(Sigma!AN119:AN120))</f>
        <v/>
      </c>
    </row>
    <row r="867" customFormat="false" ht="15" hidden="false" customHeight="true" outlineLevel="0" collapsed="false">
      <c r="A867" s="9" t="s">
        <v>270</v>
      </c>
      <c r="B867" s="11" t="s">
        <v>122</v>
      </c>
      <c r="C867" s="11" t="s">
        <v>325</v>
      </c>
      <c r="D867" s="27" t="str">
        <f aca="false">IF('TEa input'!AD59="","",'TEa input'!AD59)</f>
        <v/>
      </c>
      <c r="E867" s="28" t="str">
        <f aca="false">IF(D867="","",MIN(Sigma!AO119:AO120))</f>
        <v/>
      </c>
    </row>
    <row r="868" customFormat="false" ht="15" hidden="false" customHeight="true" outlineLevel="0" collapsed="false">
      <c r="A868" s="9" t="s">
        <v>270</v>
      </c>
      <c r="B868" s="11" t="s">
        <v>122</v>
      </c>
      <c r="C868" s="29" t="str">
        <f aca="false">IF('TEa input'!AE59="","Other",'TEa input'!AE59)</f>
        <v>Other</v>
      </c>
      <c r="D868" s="27" t="str">
        <f aca="false">IF('TEa input'!AF59="","",'TEa input'!AF59)</f>
        <v/>
      </c>
      <c r="E868" s="28" t="str">
        <f aca="false">IF(D868="","",MIN(Sigma!AP119:AP120))</f>
        <v/>
      </c>
    </row>
    <row r="869" customFormat="false" ht="15" hidden="false" customHeight="true" outlineLevel="0" collapsed="false">
      <c r="A869" s="9" t="s">
        <v>275</v>
      </c>
      <c r="B869" s="11" t="s">
        <v>122</v>
      </c>
      <c r="C869" s="11" t="s">
        <v>26</v>
      </c>
      <c r="D869" s="27" t="str">
        <f aca="false">IF('TEa input'!E60="","",'TEa input'!E60)</f>
        <v/>
      </c>
      <c r="E869" s="28" t="str">
        <f aca="false">IF(D869="","",MIN(Sigma!AA121:AA122))</f>
        <v/>
      </c>
    </row>
    <row r="870" customFormat="false" ht="15" hidden="false" customHeight="true" outlineLevel="0" collapsed="false">
      <c r="A870" s="9" t="s">
        <v>275</v>
      </c>
      <c r="B870" s="11" t="s">
        <v>122</v>
      </c>
      <c r="C870" s="11" t="s">
        <v>27</v>
      </c>
      <c r="D870" s="27" t="str">
        <f aca="false">IF('TEa input'!G60="","",'TEa input'!G60)</f>
        <v/>
      </c>
      <c r="E870" s="28" t="str">
        <f aca="false">IF(D870="","",MIN(Sigma!AB121:AB122))</f>
        <v/>
      </c>
    </row>
    <row r="871" customFormat="false" ht="15" hidden="false" customHeight="true" outlineLevel="0" collapsed="false">
      <c r="A871" s="9" t="s">
        <v>275</v>
      </c>
      <c r="B871" s="11" t="s">
        <v>122</v>
      </c>
      <c r="C871" s="11" t="s">
        <v>28</v>
      </c>
      <c r="D871" s="27" t="n">
        <f aca="false">IF('TEa input'!I60="","",'TEa input'!I60)</f>
        <v>18</v>
      </c>
      <c r="E871" s="28" t="n">
        <f aca="false">IF(D871="","",MIN(Sigma!AC121:AC122))</f>
        <v>5.40633737185461</v>
      </c>
    </row>
    <row r="872" customFormat="false" ht="15" hidden="false" customHeight="true" outlineLevel="0" collapsed="false">
      <c r="A872" s="9" t="s">
        <v>275</v>
      </c>
      <c r="B872" s="11" t="s">
        <v>122</v>
      </c>
      <c r="C872" s="11" t="s">
        <v>29</v>
      </c>
      <c r="D872" s="27" t="str">
        <f aca="false">IF('TEa input'!K60="","",'TEa input'!K60)</f>
        <v/>
      </c>
      <c r="E872" s="28" t="str">
        <f aca="false">IF(D872="","",MIN(Sigma!AD121:AD122))</f>
        <v/>
      </c>
    </row>
    <row r="873" customFormat="false" ht="15" hidden="false" customHeight="true" outlineLevel="0" collapsed="false">
      <c r="A873" s="9" t="s">
        <v>275</v>
      </c>
      <c r="B873" s="11" t="s">
        <v>122</v>
      </c>
      <c r="C873" s="11" t="s">
        <v>30</v>
      </c>
      <c r="D873" s="27" t="str">
        <f aca="false">IF('TEa input'!M60="","",'TEa input'!M60)</f>
        <v/>
      </c>
      <c r="E873" s="28" t="str">
        <f aca="false">IF(D873="","",MIN(Sigma!AE121:AE122))</f>
        <v/>
      </c>
    </row>
    <row r="874" customFormat="false" ht="15" hidden="false" customHeight="true" outlineLevel="0" collapsed="false">
      <c r="A874" s="9" t="s">
        <v>275</v>
      </c>
      <c r="B874" s="11" t="s">
        <v>122</v>
      </c>
      <c r="C874" s="11" t="s">
        <v>31</v>
      </c>
      <c r="D874" s="27" t="str">
        <f aca="false">IF('TEa input'!O60="","",'TEa input'!O60)</f>
        <v/>
      </c>
      <c r="E874" s="28" t="str">
        <f aca="false">IF(D874="","",MIN(Sigma!AF121:AF122))</f>
        <v/>
      </c>
    </row>
    <row r="875" customFormat="false" ht="15" hidden="false" customHeight="true" outlineLevel="0" collapsed="false">
      <c r="A875" s="9" t="s">
        <v>275</v>
      </c>
      <c r="B875" s="11" t="s">
        <v>122</v>
      </c>
      <c r="C875" s="11" t="s">
        <v>32</v>
      </c>
      <c r="D875" s="27" t="str">
        <f aca="false">IF('TEa input'!Q60="","",'TEa input'!Q60)</f>
        <v/>
      </c>
      <c r="E875" s="28" t="str">
        <f aca="false">IF(D875="","",MIN(Sigma!AG121:AG122))</f>
        <v/>
      </c>
    </row>
    <row r="876" customFormat="false" ht="15" hidden="false" customHeight="true" outlineLevel="0" collapsed="false">
      <c r="A876" s="9" t="s">
        <v>275</v>
      </c>
      <c r="B876" s="11" t="s">
        <v>122</v>
      </c>
      <c r="C876" s="11" t="s">
        <v>33</v>
      </c>
      <c r="D876" s="27" t="str">
        <f aca="false">IF('TEa input'!R60="","",'TEa input'!R60)</f>
        <v/>
      </c>
      <c r="E876" s="28" t="str">
        <f aca="false">IF(D876="","",MIN(Sigma!AH121:AH122))</f>
        <v/>
      </c>
    </row>
    <row r="877" customFormat="false" ht="15" hidden="false" customHeight="true" outlineLevel="0" collapsed="false">
      <c r="A877" s="9" t="s">
        <v>275</v>
      </c>
      <c r="B877" s="11" t="s">
        <v>122</v>
      </c>
      <c r="C877" s="11" t="s">
        <v>34</v>
      </c>
      <c r="D877" s="27" t="str">
        <f aca="false">IF('TEa input'!T60="","",'TEa input'!T60)</f>
        <v/>
      </c>
      <c r="E877" s="28" t="str">
        <f aca="false">IF(D877="","",MIN(Sigma!AI121:AI122))</f>
        <v/>
      </c>
    </row>
    <row r="878" customFormat="false" ht="15" hidden="false" customHeight="true" outlineLevel="0" collapsed="false">
      <c r="A878" s="9" t="s">
        <v>275</v>
      </c>
      <c r="B878" s="11" t="s">
        <v>122</v>
      </c>
      <c r="C878" s="11" t="s">
        <v>320</v>
      </c>
      <c r="D878" s="27" t="str">
        <f aca="false">IF('TEa input'!Y60="","",'TEa input'!Y60)</f>
        <v/>
      </c>
      <c r="E878" s="28" t="str">
        <f aca="false">IF(D878="","",MIN(Sigma!AJ121:AJ122))</f>
        <v/>
      </c>
    </row>
    <row r="879" customFormat="false" ht="15" hidden="false" customHeight="true" outlineLevel="0" collapsed="false">
      <c r="A879" s="9" t="s">
        <v>275</v>
      </c>
      <c r="B879" s="11" t="s">
        <v>122</v>
      </c>
      <c r="C879" s="11" t="s">
        <v>321</v>
      </c>
      <c r="D879" s="27" t="str">
        <f aca="false">IF('TEa input'!Z60="","",'TEa input'!Z60)</f>
        <v/>
      </c>
      <c r="E879" s="28" t="str">
        <f aca="false">IF(D879="","",MIN(Sigma!AK121:AK122))</f>
        <v/>
      </c>
    </row>
    <row r="880" customFormat="false" ht="15" hidden="false" customHeight="true" outlineLevel="0" collapsed="false">
      <c r="A880" s="9" t="s">
        <v>275</v>
      </c>
      <c r="B880" s="11" t="s">
        <v>122</v>
      </c>
      <c r="C880" s="11" t="s">
        <v>322</v>
      </c>
      <c r="D880" s="27" t="str">
        <f aca="false">IF('TEa input'!AA60="","",'TEa input'!AA60)</f>
        <v/>
      </c>
      <c r="E880" s="28" t="str">
        <f aca="false">IF(D880="","",MIN(Sigma!AL121:AL122))</f>
        <v/>
      </c>
    </row>
    <row r="881" customFormat="false" ht="15" hidden="false" customHeight="true" outlineLevel="0" collapsed="false">
      <c r="A881" s="9" t="s">
        <v>275</v>
      </c>
      <c r="B881" s="11" t="s">
        <v>122</v>
      </c>
      <c r="C881" s="11" t="s">
        <v>323</v>
      </c>
      <c r="D881" s="27" t="str">
        <f aca="false">IF('TEa input'!AB60="","",'TEa input'!AB60)</f>
        <v/>
      </c>
      <c r="E881" s="28" t="str">
        <f aca="false">IF(D881="","",MIN(Sigma!AM121:AM122))</f>
        <v/>
      </c>
    </row>
    <row r="882" customFormat="false" ht="15" hidden="false" customHeight="true" outlineLevel="0" collapsed="false">
      <c r="A882" s="9" t="s">
        <v>275</v>
      </c>
      <c r="B882" s="11" t="s">
        <v>122</v>
      </c>
      <c r="C882" s="11" t="s">
        <v>324</v>
      </c>
      <c r="D882" s="27" t="str">
        <f aca="false">IF('TEa input'!AC60="","",'TEa input'!AC60)</f>
        <v/>
      </c>
      <c r="E882" s="28" t="str">
        <f aca="false">IF(D882="","",MIN(Sigma!AN121:AN122))</f>
        <v/>
      </c>
    </row>
    <row r="883" customFormat="false" ht="15" hidden="false" customHeight="true" outlineLevel="0" collapsed="false">
      <c r="A883" s="9" t="s">
        <v>275</v>
      </c>
      <c r="B883" s="11" t="s">
        <v>122</v>
      </c>
      <c r="C883" s="11" t="s">
        <v>325</v>
      </c>
      <c r="D883" s="27" t="str">
        <f aca="false">IF('TEa input'!AD60="","",'TEa input'!AD60)</f>
        <v/>
      </c>
      <c r="E883" s="28" t="str">
        <f aca="false">IF(D883="","",MIN(Sigma!AO121:AO122))</f>
        <v/>
      </c>
    </row>
    <row r="884" customFormat="false" ht="15" hidden="false" customHeight="true" outlineLevel="0" collapsed="false">
      <c r="A884" s="9" t="s">
        <v>275</v>
      </c>
      <c r="B884" s="11" t="s">
        <v>122</v>
      </c>
      <c r="C884" s="29" t="str">
        <f aca="false">IF('TEa input'!AE60="","Other",'TEa input'!AE60)</f>
        <v>Other</v>
      </c>
      <c r="D884" s="27" t="str">
        <f aca="false">IF('TEa input'!AF60="","",'TEa input'!AF60)</f>
        <v/>
      </c>
      <c r="E884" s="28" t="str">
        <f aca="false">IF(D884="","",MIN(Sigma!AP121:AP122))</f>
        <v/>
      </c>
    </row>
    <row r="885" customFormat="false" ht="15" hidden="false" customHeight="true" outlineLevel="0" collapsed="false">
      <c r="A885" s="9" t="s">
        <v>276</v>
      </c>
      <c r="B885" s="11" t="s">
        <v>122</v>
      </c>
      <c r="C885" s="11" t="s">
        <v>26</v>
      </c>
      <c r="D885" s="27" t="str">
        <f aca="false">IF('TEa input'!E61="","",'TEa input'!E61)</f>
        <v/>
      </c>
      <c r="E885" s="28" t="str">
        <f aca="false">IF(D885="","",MIN(Sigma!AA123:AA124))</f>
        <v/>
      </c>
    </row>
    <row r="886" customFormat="false" ht="15" hidden="false" customHeight="true" outlineLevel="0" collapsed="false">
      <c r="A886" s="9" t="s">
        <v>276</v>
      </c>
      <c r="B886" s="11" t="s">
        <v>122</v>
      </c>
      <c r="C886" s="11" t="s">
        <v>27</v>
      </c>
      <c r="D886" s="27" t="n">
        <f aca="false">IF('TEa input'!G61="","",'TEa input'!G61)</f>
        <v>20</v>
      </c>
      <c r="E886" s="28" t="n">
        <f aca="false">IF(D886="","",MIN(Sigma!AB123:AB124))</f>
        <v>6.13639220615965</v>
      </c>
    </row>
    <row r="887" customFormat="false" ht="15" hidden="false" customHeight="true" outlineLevel="0" collapsed="false">
      <c r="A887" s="9" t="s">
        <v>276</v>
      </c>
      <c r="B887" s="11" t="s">
        <v>122</v>
      </c>
      <c r="C887" s="11" t="s">
        <v>28</v>
      </c>
      <c r="D887" s="27" t="n">
        <f aca="false">IF('TEa input'!I61="","",'TEa input'!I61)</f>
        <v>16</v>
      </c>
      <c r="E887" s="28" t="n">
        <f aca="false">IF(D887="","",MIN(Sigma!AC123:AC124))</f>
        <v>4.87932118164676</v>
      </c>
    </row>
    <row r="888" customFormat="false" ht="15" hidden="false" customHeight="true" outlineLevel="0" collapsed="false">
      <c r="A888" s="9" t="s">
        <v>276</v>
      </c>
      <c r="B888" s="11" t="s">
        <v>122</v>
      </c>
      <c r="C888" s="11" t="s">
        <v>29</v>
      </c>
      <c r="D888" s="27" t="str">
        <f aca="false">IF('TEa input'!K61="","",'TEa input'!K61)</f>
        <v/>
      </c>
      <c r="E888" s="28" t="str">
        <f aca="false">IF(D888="","",MIN(Sigma!AD123:AD124))</f>
        <v/>
      </c>
    </row>
    <row r="889" customFormat="false" ht="15" hidden="false" customHeight="true" outlineLevel="0" collapsed="false">
      <c r="A889" s="9" t="s">
        <v>276</v>
      </c>
      <c r="B889" s="11" t="s">
        <v>122</v>
      </c>
      <c r="C889" s="11" t="s">
        <v>30</v>
      </c>
      <c r="D889" s="27" t="n">
        <f aca="false">IF('TEa input'!M61="","",'TEa input'!M61)</f>
        <v>15</v>
      </c>
      <c r="E889" s="28" t="n">
        <f aca="false">IF(D889="","",MIN(Sigma!AE123:AE124))</f>
        <v>4.56505342551854</v>
      </c>
    </row>
    <row r="890" customFormat="false" ht="15" hidden="false" customHeight="true" outlineLevel="0" collapsed="false">
      <c r="A890" s="9" t="s">
        <v>276</v>
      </c>
      <c r="B890" s="11" t="s">
        <v>122</v>
      </c>
      <c r="C890" s="11" t="s">
        <v>31</v>
      </c>
      <c r="D890" s="27" t="n">
        <f aca="false">IF('TEa input'!O61="","",'TEa input'!O61)</f>
        <v>20</v>
      </c>
      <c r="E890" s="28" t="n">
        <f aca="false">IF(D890="","",MIN(Sigma!AF123:AF124))</f>
        <v>6.13639220615965</v>
      </c>
    </row>
    <row r="891" customFormat="false" ht="15" hidden="false" customHeight="true" outlineLevel="0" collapsed="false">
      <c r="A891" s="9" t="s">
        <v>276</v>
      </c>
      <c r="B891" s="11" t="s">
        <v>122</v>
      </c>
      <c r="C891" s="11" t="s">
        <v>32</v>
      </c>
      <c r="D891" s="27" t="n">
        <f aca="false">IF('TEa input'!Q61="","",'TEa input'!Q61)</f>
        <v>16</v>
      </c>
      <c r="E891" s="28" t="n">
        <f aca="false">IF(D891="","",MIN(Sigma!AG123:AG124))</f>
        <v>4.87932118164676</v>
      </c>
    </row>
    <row r="892" customFormat="false" ht="15" hidden="false" customHeight="true" outlineLevel="0" collapsed="false">
      <c r="A892" s="9" t="s">
        <v>276</v>
      </c>
      <c r="B892" s="11" t="s">
        <v>122</v>
      </c>
      <c r="C892" s="11" t="s">
        <v>33</v>
      </c>
      <c r="D892" s="27" t="str">
        <f aca="false">IF('TEa input'!R61="","",'TEa input'!R61)</f>
        <v/>
      </c>
      <c r="E892" s="28" t="str">
        <f aca="false">IF(D892="","",MIN(Sigma!AH123:AH124))</f>
        <v/>
      </c>
    </row>
    <row r="893" customFormat="false" ht="15" hidden="false" customHeight="true" outlineLevel="0" collapsed="false">
      <c r="A893" s="9" t="s">
        <v>276</v>
      </c>
      <c r="B893" s="11" t="s">
        <v>122</v>
      </c>
      <c r="C893" s="11" t="s">
        <v>34</v>
      </c>
      <c r="D893" s="27" t="str">
        <f aca="false">IF('TEa input'!T61="","",'TEa input'!T61)</f>
        <v/>
      </c>
      <c r="E893" s="28" t="str">
        <f aca="false">IF(D893="","",MIN(Sigma!AI123:AI124))</f>
        <v/>
      </c>
    </row>
    <row r="894" customFormat="false" ht="15" hidden="false" customHeight="true" outlineLevel="0" collapsed="false">
      <c r="A894" s="9" t="s">
        <v>276</v>
      </c>
      <c r="B894" s="11" t="s">
        <v>122</v>
      </c>
      <c r="C894" s="11" t="s">
        <v>320</v>
      </c>
      <c r="D894" s="27" t="str">
        <f aca="false">IF('TEa input'!Y61="","",'TEa input'!Y61)</f>
        <v/>
      </c>
      <c r="E894" s="28" t="str">
        <f aca="false">IF(D894="","",MIN(Sigma!AJ123:AJ124))</f>
        <v/>
      </c>
    </row>
    <row r="895" customFormat="false" ht="15" hidden="false" customHeight="true" outlineLevel="0" collapsed="false">
      <c r="A895" s="9" t="s">
        <v>276</v>
      </c>
      <c r="B895" s="11" t="s">
        <v>122</v>
      </c>
      <c r="C895" s="11" t="s">
        <v>321</v>
      </c>
      <c r="D895" s="27" t="str">
        <f aca="false">IF('TEa input'!Z61="","",'TEa input'!Z61)</f>
        <v/>
      </c>
      <c r="E895" s="28" t="str">
        <f aca="false">IF(D895="","",MIN(Sigma!AK123:AK124))</f>
        <v/>
      </c>
    </row>
    <row r="896" customFormat="false" ht="15" hidden="false" customHeight="true" outlineLevel="0" collapsed="false">
      <c r="A896" s="9" t="s">
        <v>276</v>
      </c>
      <c r="B896" s="11" t="s">
        <v>122</v>
      </c>
      <c r="C896" s="11" t="s">
        <v>322</v>
      </c>
      <c r="D896" s="27" t="str">
        <f aca="false">IF('TEa input'!AA61="","",'TEa input'!AA61)</f>
        <v/>
      </c>
      <c r="E896" s="28" t="str">
        <f aca="false">IF(D896="","",MIN(Sigma!AL123:AL124))</f>
        <v/>
      </c>
    </row>
    <row r="897" customFormat="false" ht="15" hidden="false" customHeight="true" outlineLevel="0" collapsed="false">
      <c r="A897" s="9" t="s">
        <v>276</v>
      </c>
      <c r="B897" s="11" t="s">
        <v>122</v>
      </c>
      <c r="C897" s="11" t="s">
        <v>323</v>
      </c>
      <c r="D897" s="27" t="str">
        <f aca="false">IF('TEa input'!AB61="","",'TEa input'!AB61)</f>
        <v/>
      </c>
      <c r="E897" s="28" t="str">
        <f aca="false">IF(D897="","",MIN(Sigma!AM123:AM124))</f>
        <v/>
      </c>
    </row>
    <row r="898" customFormat="false" ht="15" hidden="false" customHeight="true" outlineLevel="0" collapsed="false">
      <c r="A898" s="9" t="s">
        <v>276</v>
      </c>
      <c r="B898" s="11" t="s">
        <v>122</v>
      </c>
      <c r="C898" s="11" t="s">
        <v>324</v>
      </c>
      <c r="D898" s="27" t="n">
        <f aca="false">IF('TEa input'!AC61="","",'TEa input'!AC61)</f>
        <v>22.8</v>
      </c>
      <c r="E898" s="28" t="n">
        <f aca="false">IF(D898="","",MIN(Sigma!AN123:AN124))</f>
        <v>7.01634192331867</v>
      </c>
    </row>
    <row r="899" customFormat="false" ht="15" hidden="false" customHeight="true" outlineLevel="0" collapsed="false">
      <c r="A899" s="9" t="s">
        <v>276</v>
      </c>
      <c r="B899" s="11" t="s">
        <v>122</v>
      </c>
      <c r="C899" s="11" t="s">
        <v>325</v>
      </c>
      <c r="D899" s="27" t="str">
        <f aca="false">IF('TEa input'!AD61="","",'TEa input'!AD61)</f>
        <v/>
      </c>
      <c r="E899" s="28" t="str">
        <f aca="false">IF(D899="","",MIN(Sigma!AO123:AO124))</f>
        <v/>
      </c>
    </row>
    <row r="900" customFormat="false" ht="15" hidden="false" customHeight="true" outlineLevel="0" collapsed="false">
      <c r="A900" s="9" t="s">
        <v>276</v>
      </c>
      <c r="B900" s="11" t="s">
        <v>122</v>
      </c>
      <c r="C900" s="29" t="str">
        <f aca="false">IF('TEa input'!AE61="","Other",'TEa input'!AE61)</f>
        <v>Other</v>
      </c>
      <c r="D900" s="27" t="str">
        <f aca="false">IF('TEa input'!AF61="","",'TEa input'!AF61)</f>
        <v/>
      </c>
      <c r="E900" s="28" t="str">
        <f aca="false">IF(D900="","",MIN(Sigma!AP123:AP124))</f>
        <v/>
      </c>
    </row>
    <row r="901" customFormat="false" ht="15" hidden="false" customHeight="true" outlineLevel="0" collapsed="false">
      <c r="A901" s="9" t="s">
        <v>281</v>
      </c>
      <c r="B901" s="11" t="s">
        <v>122</v>
      </c>
      <c r="C901" s="11" t="s">
        <v>26</v>
      </c>
      <c r="D901" s="27" t="str">
        <f aca="false">IF('TEa input'!E62="","",'TEa input'!E62)</f>
        <v/>
      </c>
      <c r="E901" s="28" t="str">
        <f aca="false">IF(D901="","",MIN(Sigma!AA125:AA126))</f>
        <v/>
      </c>
    </row>
    <row r="902" customFormat="false" ht="15" hidden="false" customHeight="true" outlineLevel="0" collapsed="false">
      <c r="A902" s="9" t="s">
        <v>281</v>
      </c>
      <c r="B902" s="11" t="s">
        <v>122</v>
      </c>
      <c r="C902" s="11" t="s">
        <v>27</v>
      </c>
      <c r="D902" s="27" t="n">
        <f aca="false">IF('TEa input'!G62="","",'TEa input'!G62)</f>
        <v>18</v>
      </c>
      <c r="E902" s="28" t="n">
        <f aca="false">IF(D902="","",MIN(Sigma!AB125:AB126))</f>
        <v>4.11619225384974</v>
      </c>
    </row>
    <row r="903" customFormat="false" ht="15" hidden="false" customHeight="true" outlineLevel="0" collapsed="false">
      <c r="A903" s="9" t="s">
        <v>281</v>
      </c>
      <c r="B903" s="11" t="s">
        <v>122</v>
      </c>
      <c r="C903" s="11" t="s">
        <v>28</v>
      </c>
      <c r="D903" s="27" t="n">
        <f aca="false">IF('TEa input'!I62="","",'TEa input'!I62)</f>
        <v>14</v>
      </c>
      <c r="E903" s="28" t="n">
        <f aca="false">IF(D903="","",MIN(Sigma!AC125:AC126))</f>
        <v>3.18292113859076</v>
      </c>
    </row>
    <row r="904" customFormat="false" ht="15" hidden="false" customHeight="true" outlineLevel="0" collapsed="false">
      <c r="A904" s="9" t="s">
        <v>281</v>
      </c>
      <c r="B904" s="11" t="s">
        <v>122</v>
      </c>
      <c r="C904" s="11" t="s">
        <v>29</v>
      </c>
      <c r="D904" s="27" t="str">
        <f aca="false">IF('TEa input'!K62="","",'TEa input'!K62)</f>
        <v/>
      </c>
      <c r="E904" s="28" t="str">
        <f aca="false">IF(D904="","",MIN(Sigma!AD125:AD126))</f>
        <v/>
      </c>
    </row>
    <row r="905" customFormat="false" ht="15" hidden="false" customHeight="true" outlineLevel="0" collapsed="false">
      <c r="A905" s="9" t="s">
        <v>281</v>
      </c>
      <c r="B905" s="11" t="s">
        <v>122</v>
      </c>
      <c r="C905" s="11" t="s">
        <v>30</v>
      </c>
      <c r="D905" s="27" t="n">
        <f aca="false">IF('TEa input'!M62="","",'TEa input'!M62)</f>
        <v>10</v>
      </c>
      <c r="E905" s="28" t="n">
        <f aca="false">IF(D905="","",MIN(Sigma!AE125:AE126))</f>
        <v>2.24965002333178</v>
      </c>
    </row>
    <row r="906" customFormat="false" ht="15" hidden="false" customHeight="true" outlineLevel="0" collapsed="false">
      <c r="A906" s="9" t="s">
        <v>281</v>
      </c>
      <c r="B906" s="11" t="s">
        <v>122</v>
      </c>
      <c r="C906" s="11" t="s">
        <v>31</v>
      </c>
      <c r="D906" s="27" t="str">
        <f aca="false">IF('TEa input'!O62="","",'TEa input'!O62)</f>
        <v/>
      </c>
      <c r="E906" s="28" t="str">
        <f aca="false">IF(D906="","",MIN(Sigma!AF125:AF126))</f>
        <v/>
      </c>
    </row>
    <row r="907" customFormat="false" ht="15" hidden="false" customHeight="true" outlineLevel="0" collapsed="false">
      <c r="A907" s="9" t="s">
        <v>281</v>
      </c>
      <c r="B907" s="11" t="s">
        <v>122</v>
      </c>
      <c r="C907" s="11" t="s">
        <v>32</v>
      </c>
      <c r="D907" s="27" t="str">
        <f aca="false">IF('TEa input'!Q62="","",'TEa input'!Q62)</f>
        <v/>
      </c>
      <c r="E907" s="28" t="str">
        <f aca="false">IF(D907="","",MIN(Sigma!AG125:AG126))</f>
        <v/>
      </c>
    </row>
    <row r="908" customFormat="false" ht="15" hidden="false" customHeight="true" outlineLevel="0" collapsed="false">
      <c r="A908" s="9" t="s">
        <v>281</v>
      </c>
      <c r="B908" s="11" t="s">
        <v>122</v>
      </c>
      <c r="C908" s="11" t="s">
        <v>33</v>
      </c>
      <c r="D908" s="27" t="str">
        <f aca="false">IF('TEa input'!R62="","",'TEa input'!R62)</f>
        <v/>
      </c>
      <c r="E908" s="28" t="str">
        <f aca="false">IF(D908="","",MIN(Sigma!AH125:AH126))</f>
        <v/>
      </c>
    </row>
    <row r="909" customFormat="false" ht="15" hidden="false" customHeight="true" outlineLevel="0" collapsed="false">
      <c r="A909" s="9" t="s">
        <v>281</v>
      </c>
      <c r="B909" s="11" t="s">
        <v>122</v>
      </c>
      <c r="C909" s="11" t="s">
        <v>34</v>
      </c>
      <c r="D909" s="27" t="n">
        <f aca="false">IF('TEa input'!T62="","",'TEa input'!T62)</f>
        <v>30</v>
      </c>
      <c r="E909" s="28" t="n">
        <f aca="false">IF(D909="","",MIN(Sigma!AI125:AI126))</f>
        <v>6.91600559962669</v>
      </c>
    </row>
    <row r="910" customFormat="false" ht="15" hidden="false" customHeight="true" outlineLevel="0" collapsed="false">
      <c r="A910" s="9" t="s">
        <v>281</v>
      </c>
      <c r="B910" s="11" t="s">
        <v>122</v>
      </c>
      <c r="C910" s="11" t="s">
        <v>320</v>
      </c>
      <c r="D910" s="27" t="str">
        <f aca="false">IF('TEa input'!Y62="","",'TEa input'!Y62)</f>
        <v/>
      </c>
      <c r="E910" s="28" t="str">
        <f aca="false">IF(D910="","",MIN(Sigma!AJ125:AJ126))</f>
        <v/>
      </c>
    </row>
    <row r="911" customFormat="false" ht="15" hidden="false" customHeight="true" outlineLevel="0" collapsed="false">
      <c r="A911" s="9" t="s">
        <v>281</v>
      </c>
      <c r="B911" s="11" t="s">
        <v>122</v>
      </c>
      <c r="C911" s="11" t="s">
        <v>321</v>
      </c>
      <c r="D911" s="27" t="str">
        <f aca="false">IF('TEa input'!Z62="","",'TEa input'!Z62)</f>
        <v/>
      </c>
      <c r="E911" s="28" t="str">
        <f aca="false">IF(D911="","",MIN(Sigma!AK125:AK126))</f>
        <v/>
      </c>
    </row>
    <row r="912" customFormat="false" ht="15" hidden="false" customHeight="true" outlineLevel="0" collapsed="false">
      <c r="A912" s="9" t="s">
        <v>281</v>
      </c>
      <c r="B912" s="11" t="s">
        <v>122</v>
      </c>
      <c r="C912" s="11" t="s">
        <v>322</v>
      </c>
      <c r="D912" s="27" t="str">
        <f aca="false">IF('TEa input'!AA62="","",'TEa input'!AA62)</f>
        <v/>
      </c>
      <c r="E912" s="28" t="str">
        <f aca="false">IF(D912="","",MIN(Sigma!AL125:AL126))</f>
        <v/>
      </c>
    </row>
    <row r="913" customFormat="false" ht="15" hidden="false" customHeight="true" outlineLevel="0" collapsed="false">
      <c r="A913" s="9" t="s">
        <v>281</v>
      </c>
      <c r="B913" s="11" t="s">
        <v>122</v>
      </c>
      <c r="C913" s="11" t="s">
        <v>323</v>
      </c>
      <c r="D913" s="27" t="str">
        <f aca="false">IF('TEa input'!AB62="","",'TEa input'!AB62)</f>
        <v/>
      </c>
      <c r="E913" s="28" t="str">
        <f aca="false">IF(D913="","",MIN(Sigma!AM125:AM126))</f>
        <v/>
      </c>
    </row>
    <row r="914" customFormat="false" ht="15" hidden="false" customHeight="true" outlineLevel="0" collapsed="false">
      <c r="A914" s="9" t="s">
        <v>281</v>
      </c>
      <c r="B914" s="11" t="s">
        <v>122</v>
      </c>
      <c r="C914" s="11" t="s">
        <v>324</v>
      </c>
      <c r="D914" s="27" t="str">
        <f aca="false">IF('TEa input'!AC62="","",'TEa input'!AC62)</f>
        <v/>
      </c>
      <c r="E914" s="28" t="str">
        <f aca="false">IF(D914="","",MIN(Sigma!AN125:AN126))</f>
        <v/>
      </c>
    </row>
    <row r="915" customFormat="false" ht="15" hidden="false" customHeight="true" outlineLevel="0" collapsed="false">
      <c r="A915" s="9" t="s">
        <v>281</v>
      </c>
      <c r="B915" s="11" t="s">
        <v>122</v>
      </c>
      <c r="C915" s="11" t="s">
        <v>325</v>
      </c>
      <c r="D915" s="27" t="str">
        <f aca="false">IF('TEa input'!AD62="","",'TEa input'!AD62)</f>
        <v/>
      </c>
      <c r="E915" s="28" t="str">
        <f aca="false">IF(D915="","",MIN(Sigma!AO125:AO126))</f>
        <v/>
      </c>
    </row>
    <row r="916" customFormat="false" ht="15" hidden="false" customHeight="true" outlineLevel="0" collapsed="false">
      <c r="A916" s="9" t="s">
        <v>281</v>
      </c>
      <c r="B916" s="11" t="s">
        <v>122</v>
      </c>
      <c r="C916" s="29" t="str">
        <f aca="false">IF('TEa input'!AE62="","Other",'TEa input'!AE62)</f>
        <v>Other</v>
      </c>
      <c r="D916" s="27" t="str">
        <f aca="false">IF('TEa input'!AF62="","",'TEa input'!AF62)</f>
        <v/>
      </c>
      <c r="E916" s="28" t="str">
        <f aca="false">IF(D916="","",MIN(Sigma!AP125:AP126))</f>
        <v/>
      </c>
    </row>
    <row r="917" customFormat="false" ht="15" hidden="false" customHeight="true" outlineLevel="0" collapsed="false">
      <c r="A917" s="9" t="s">
        <v>287</v>
      </c>
      <c r="B917" s="11" t="s">
        <v>122</v>
      </c>
      <c r="C917" s="11" t="s">
        <v>26</v>
      </c>
      <c r="D917" s="27" t="str">
        <f aca="false">IF('TEa input'!E63="","",'TEa input'!E63)</f>
        <v/>
      </c>
      <c r="E917" s="28" t="str">
        <f aca="false">IF(D917="","",MIN(Sigma!AA127:AA128))</f>
        <v/>
      </c>
    </row>
    <row r="918" customFormat="false" ht="15" hidden="false" customHeight="true" outlineLevel="0" collapsed="false">
      <c r="A918" s="9" t="s">
        <v>287</v>
      </c>
      <c r="B918" s="11" t="s">
        <v>122</v>
      </c>
      <c r="C918" s="11" t="s">
        <v>27</v>
      </c>
      <c r="D918" s="27" t="str">
        <f aca="false">IF('TEa input'!G63="","",'TEa input'!G63)</f>
        <v/>
      </c>
      <c r="E918" s="28" t="str">
        <f aca="false">IF(D918="","",MIN(Sigma!AB127:AB128))</f>
        <v/>
      </c>
    </row>
    <row r="919" customFormat="false" ht="15" hidden="false" customHeight="true" outlineLevel="0" collapsed="false">
      <c r="A919" s="9" t="s">
        <v>287</v>
      </c>
      <c r="B919" s="11" t="s">
        <v>122</v>
      </c>
      <c r="C919" s="11" t="s">
        <v>28</v>
      </c>
      <c r="D919" s="27" t="str">
        <f aca="false">IF('TEa input'!I63="","",'TEa input'!I63)</f>
        <v/>
      </c>
      <c r="E919" s="28" t="str">
        <f aca="false">IF(D919="","",MIN(Sigma!AC127:AC128))</f>
        <v/>
      </c>
    </row>
    <row r="920" customFormat="false" ht="15" hidden="false" customHeight="true" outlineLevel="0" collapsed="false">
      <c r="A920" s="9" t="s">
        <v>287</v>
      </c>
      <c r="B920" s="11" t="s">
        <v>122</v>
      </c>
      <c r="C920" s="11" t="s">
        <v>29</v>
      </c>
      <c r="D920" s="27" t="str">
        <f aca="false">IF('TEa input'!K63="","",'TEa input'!K63)</f>
        <v/>
      </c>
      <c r="E920" s="28" t="str">
        <f aca="false">IF(D920="","",MIN(Sigma!AD127:AD128))</f>
        <v/>
      </c>
    </row>
    <row r="921" customFormat="false" ht="15" hidden="false" customHeight="true" outlineLevel="0" collapsed="false">
      <c r="A921" s="9" t="s">
        <v>287</v>
      </c>
      <c r="B921" s="11" t="s">
        <v>122</v>
      </c>
      <c r="C921" s="11" t="s">
        <v>30</v>
      </c>
      <c r="D921" s="27" t="n">
        <f aca="false">IF('TEa input'!M63="","",'TEa input'!M63)</f>
        <v>12</v>
      </c>
      <c r="E921" s="28" t="n">
        <f aca="false">IF(D921="","",MIN(Sigma!AE127:AE128))</f>
        <v>2.26981282357626</v>
      </c>
    </row>
    <row r="922" customFormat="false" ht="15" hidden="false" customHeight="true" outlineLevel="0" collapsed="false">
      <c r="A922" s="9" t="s">
        <v>287</v>
      </c>
      <c r="B922" s="11" t="s">
        <v>122</v>
      </c>
      <c r="C922" s="11" t="s">
        <v>31</v>
      </c>
      <c r="D922" s="27" t="n">
        <f aca="false">IF('TEa input'!O63="","",'TEa input'!O63)</f>
        <v>20</v>
      </c>
      <c r="E922" s="28" t="n">
        <f aca="false">IF(D922="","",MIN(Sigma!AF127:AF128))</f>
        <v>3.86280366387893</v>
      </c>
    </row>
    <row r="923" customFormat="false" ht="15" hidden="false" customHeight="true" outlineLevel="0" collapsed="false">
      <c r="A923" s="9" t="s">
        <v>287</v>
      </c>
      <c r="B923" s="11" t="s">
        <v>122</v>
      </c>
      <c r="C923" s="11" t="s">
        <v>32</v>
      </c>
      <c r="D923" s="27" t="str">
        <f aca="false">IF('TEa input'!Q63="","",'TEa input'!Q63)</f>
        <v/>
      </c>
      <c r="E923" s="28" t="str">
        <f aca="false">IF(D923="","",MIN(Sigma!AG127:AG128))</f>
        <v/>
      </c>
    </row>
    <row r="924" customFormat="false" ht="15" hidden="false" customHeight="true" outlineLevel="0" collapsed="false">
      <c r="A924" s="9" t="s">
        <v>287</v>
      </c>
      <c r="B924" s="11" t="s">
        <v>122</v>
      </c>
      <c r="C924" s="11" t="s">
        <v>33</v>
      </c>
      <c r="D924" s="27" t="str">
        <f aca="false">IF('TEa input'!R63="","",'TEa input'!R63)</f>
        <v/>
      </c>
      <c r="E924" s="28" t="str">
        <f aca="false">IF(D924="","",MIN(Sigma!AH127:AH128))</f>
        <v/>
      </c>
    </row>
    <row r="925" customFormat="false" ht="15" hidden="false" customHeight="true" outlineLevel="0" collapsed="false">
      <c r="A925" s="9" t="s">
        <v>287</v>
      </c>
      <c r="B925" s="11" t="s">
        <v>122</v>
      </c>
      <c r="C925" s="11" t="s">
        <v>34</v>
      </c>
      <c r="D925" s="27" t="str">
        <f aca="false">IF('TEa input'!T63="","",'TEa input'!T63)</f>
        <v/>
      </c>
      <c r="E925" s="28" t="str">
        <f aca="false">IF(D925="","",MIN(Sigma!AI127:AI128))</f>
        <v/>
      </c>
    </row>
    <row r="926" customFormat="false" ht="15" hidden="false" customHeight="true" outlineLevel="0" collapsed="false">
      <c r="A926" s="9" t="s">
        <v>287</v>
      </c>
      <c r="B926" s="11" t="s">
        <v>122</v>
      </c>
      <c r="C926" s="11" t="s">
        <v>320</v>
      </c>
      <c r="D926" s="27" t="str">
        <f aca="false">IF('TEa input'!Y63="","",'TEa input'!Y63)</f>
        <v/>
      </c>
      <c r="E926" s="28" t="str">
        <f aca="false">IF(D926="","",MIN(Sigma!AJ127:AJ128))</f>
        <v/>
      </c>
    </row>
    <row r="927" customFormat="false" ht="15" hidden="false" customHeight="true" outlineLevel="0" collapsed="false">
      <c r="A927" s="9" t="s">
        <v>287</v>
      </c>
      <c r="B927" s="11" t="s">
        <v>122</v>
      </c>
      <c r="C927" s="11" t="s">
        <v>321</v>
      </c>
      <c r="D927" s="27" t="str">
        <f aca="false">IF('TEa input'!Z63="","",'TEa input'!Z63)</f>
        <v/>
      </c>
      <c r="E927" s="28" t="str">
        <f aca="false">IF(D927="","",MIN(Sigma!AK127:AK128))</f>
        <v/>
      </c>
    </row>
    <row r="928" customFormat="false" ht="15" hidden="false" customHeight="true" outlineLevel="0" collapsed="false">
      <c r="A928" s="9" t="s">
        <v>287</v>
      </c>
      <c r="B928" s="11" t="s">
        <v>122</v>
      </c>
      <c r="C928" s="11" t="s">
        <v>322</v>
      </c>
      <c r="D928" s="27" t="str">
        <f aca="false">IF('TEa input'!AA63="","",'TEa input'!AA63)</f>
        <v/>
      </c>
      <c r="E928" s="28" t="str">
        <f aca="false">IF(D928="","",MIN(Sigma!AL127:AL128))</f>
        <v/>
      </c>
    </row>
    <row r="929" customFormat="false" ht="15" hidden="false" customHeight="true" outlineLevel="0" collapsed="false">
      <c r="A929" s="9" t="s">
        <v>287</v>
      </c>
      <c r="B929" s="11" t="s">
        <v>122</v>
      </c>
      <c r="C929" s="11" t="s">
        <v>323</v>
      </c>
      <c r="D929" s="27" t="str">
        <f aca="false">IF('TEa input'!AB63="","",'TEa input'!AB63)</f>
        <v/>
      </c>
      <c r="E929" s="28" t="str">
        <f aca="false">IF(D929="","",MIN(Sigma!AM127:AM128))</f>
        <v/>
      </c>
    </row>
    <row r="930" customFormat="false" ht="15" hidden="false" customHeight="true" outlineLevel="0" collapsed="false">
      <c r="A930" s="9" t="s">
        <v>287</v>
      </c>
      <c r="B930" s="11" t="s">
        <v>122</v>
      </c>
      <c r="C930" s="11" t="s">
        <v>324</v>
      </c>
      <c r="D930" s="27" t="str">
        <f aca="false">IF('TEa input'!AC63="","",'TEa input'!AC63)</f>
        <v/>
      </c>
      <c r="E930" s="28" t="str">
        <f aca="false">IF(D930="","",MIN(Sigma!AN127:AN128))</f>
        <v/>
      </c>
    </row>
    <row r="931" customFormat="false" ht="15" hidden="false" customHeight="true" outlineLevel="0" collapsed="false">
      <c r="A931" s="9" t="s">
        <v>287</v>
      </c>
      <c r="B931" s="11" t="s">
        <v>122</v>
      </c>
      <c r="C931" s="11" t="s">
        <v>325</v>
      </c>
      <c r="D931" s="27" t="str">
        <f aca="false">IF('TEa input'!AD63="","",'TEa input'!AD63)</f>
        <v/>
      </c>
      <c r="E931" s="28" t="str">
        <f aca="false">IF(D931="","",MIN(Sigma!AO127:AO128))</f>
        <v/>
      </c>
    </row>
    <row r="932" customFormat="false" ht="15" hidden="false" customHeight="true" outlineLevel="0" collapsed="false">
      <c r="A932" s="9" t="s">
        <v>287</v>
      </c>
      <c r="B932" s="11" t="s">
        <v>122</v>
      </c>
      <c r="C932" s="29" t="str">
        <f aca="false">IF('TEa input'!AE63="","Other",'TEa input'!AE63)</f>
        <v>Other</v>
      </c>
      <c r="D932" s="27" t="str">
        <f aca="false">IF('TEa input'!AF63="","",'TEa input'!AF63)</f>
        <v/>
      </c>
      <c r="E932" s="28" t="str">
        <f aca="false">IF(D932="","",MIN(Sigma!AP127:AP128))</f>
        <v/>
      </c>
    </row>
    <row r="933" customFormat="false" ht="15" hidden="false" customHeight="true" outlineLevel="0" collapsed="false">
      <c r="A933" s="9" t="s">
        <v>291</v>
      </c>
      <c r="B933" s="11" t="s">
        <v>122</v>
      </c>
      <c r="C933" s="11" t="s">
        <v>26</v>
      </c>
      <c r="D933" s="27" t="str">
        <f aca="false">IF('TEa input'!E64="","",'TEa input'!E64)</f>
        <v/>
      </c>
      <c r="E933" s="28" t="str">
        <f aca="false">IF(D933="","",MIN(Sigma!AA129:AA130))</f>
        <v/>
      </c>
    </row>
    <row r="934" customFormat="false" ht="15" hidden="false" customHeight="true" outlineLevel="0" collapsed="false">
      <c r="A934" s="9" t="s">
        <v>291</v>
      </c>
      <c r="B934" s="11" t="s">
        <v>122</v>
      </c>
      <c r="C934" s="11" t="s">
        <v>27</v>
      </c>
      <c r="D934" s="27" t="n">
        <f aca="false">IF('TEa input'!G64="","",'TEa input'!G64)</f>
        <v>15</v>
      </c>
      <c r="E934" s="28" t="n">
        <f aca="false">IF(D934="","",MIN(Sigma!AB129:AB130))</f>
        <v>2.611305962451</v>
      </c>
    </row>
    <row r="935" customFormat="false" ht="15" hidden="false" customHeight="true" outlineLevel="0" collapsed="false">
      <c r="A935" s="9" t="s">
        <v>291</v>
      </c>
      <c r="B935" s="11" t="s">
        <v>122</v>
      </c>
      <c r="C935" s="11" t="s">
        <v>28</v>
      </c>
      <c r="D935" s="27" t="n">
        <f aca="false">IF('TEa input'!I64="","",'TEa input'!I64)</f>
        <v>14</v>
      </c>
      <c r="E935" s="28" t="n">
        <f aca="false">IF(D935="","",MIN(Sigma!AC129:AC130))</f>
        <v>2.40499277903858</v>
      </c>
    </row>
    <row r="936" customFormat="false" ht="15" hidden="false" customHeight="true" outlineLevel="0" collapsed="false">
      <c r="A936" s="9" t="s">
        <v>291</v>
      </c>
      <c r="B936" s="11" t="s">
        <v>122</v>
      </c>
      <c r="C936" s="11" t="s">
        <v>29</v>
      </c>
      <c r="D936" s="27" t="str">
        <f aca="false">IF('TEa input'!K64="","",'TEa input'!K64)</f>
        <v/>
      </c>
      <c r="E936" s="28" t="str">
        <f aca="false">IF(D936="","",MIN(Sigma!AD129:AD130))</f>
        <v/>
      </c>
    </row>
    <row r="937" customFormat="false" ht="15" hidden="false" customHeight="true" outlineLevel="0" collapsed="false">
      <c r="A937" s="9" t="s">
        <v>291</v>
      </c>
      <c r="B937" s="11" t="s">
        <v>122</v>
      </c>
      <c r="C937" s="11" t="s">
        <v>30</v>
      </c>
      <c r="D937" s="27" t="n">
        <f aca="false">IF('TEa input'!M64="","",'TEa input'!M64)</f>
        <v>12</v>
      </c>
      <c r="E937" s="28" t="n">
        <f aca="false">IF(D937="","",MIN(Sigma!AE129:AE130))</f>
        <v>1.99236641221374</v>
      </c>
    </row>
    <row r="938" customFormat="false" ht="15" hidden="false" customHeight="true" outlineLevel="0" collapsed="false">
      <c r="A938" s="9" t="s">
        <v>291</v>
      </c>
      <c r="B938" s="11" t="s">
        <v>122</v>
      </c>
      <c r="C938" s="11" t="s">
        <v>31</v>
      </c>
      <c r="D938" s="27" t="n">
        <f aca="false">IF('TEa input'!O64="","",'TEa input'!O64)</f>
        <v>25</v>
      </c>
      <c r="E938" s="28" t="n">
        <f aca="false">IF(D938="","",MIN(Sigma!AF129:AF130))</f>
        <v>4.6744377965752</v>
      </c>
    </row>
    <row r="939" customFormat="false" ht="15" hidden="false" customHeight="true" outlineLevel="0" collapsed="false">
      <c r="A939" s="9" t="s">
        <v>291</v>
      </c>
      <c r="B939" s="11" t="s">
        <v>122</v>
      </c>
      <c r="C939" s="11" t="s">
        <v>32</v>
      </c>
      <c r="D939" s="27" t="n">
        <f aca="false">IF('TEa input'!Q64="","",'TEa input'!Q64)</f>
        <v>16</v>
      </c>
      <c r="E939" s="28" t="n">
        <f aca="false">IF(D939="","",MIN(Sigma!AG129:AG130))</f>
        <v>2.81761914586342</v>
      </c>
    </row>
    <row r="940" customFormat="false" ht="15" hidden="false" customHeight="true" outlineLevel="0" collapsed="false">
      <c r="A940" s="9" t="s">
        <v>291</v>
      </c>
      <c r="B940" s="11" t="s">
        <v>122</v>
      </c>
      <c r="C940" s="11" t="s">
        <v>33</v>
      </c>
      <c r="D940" s="27" t="str">
        <f aca="false">IF('TEa input'!R64="","",'TEa input'!R64)</f>
        <v/>
      </c>
      <c r="E940" s="28" t="str">
        <f aca="false">IF(D940="","",MIN(Sigma!AH129:AH130))</f>
        <v/>
      </c>
    </row>
    <row r="941" customFormat="false" ht="15" hidden="false" customHeight="true" outlineLevel="0" collapsed="false">
      <c r="A941" s="9" t="s">
        <v>291</v>
      </c>
      <c r="B941" s="11" t="s">
        <v>122</v>
      </c>
      <c r="C941" s="11" t="s">
        <v>34</v>
      </c>
      <c r="D941" s="27" t="str">
        <f aca="false">IF('TEa input'!T64="","",'TEa input'!T64)</f>
        <v/>
      </c>
      <c r="E941" s="28" t="str">
        <f aca="false">IF(D941="","",MIN(Sigma!AI129:AI130))</f>
        <v/>
      </c>
    </row>
    <row r="942" customFormat="false" ht="15" hidden="false" customHeight="true" outlineLevel="0" collapsed="false">
      <c r="A942" s="9" t="s">
        <v>291</v>
      </c>
      <c r="B942" s="11" t="s">
        <v>122</v>
      </c>
      <c r="C942" s="11" t="s">
        <v>320</v>
      </c>
      <c r="D942" s="27" t="str">
        <f aca="false">IF('TEa input'!Y64="","",'TEa input'!Y64)</f>
        <v/>
      </c>
      <c r="E942" s="28" t="str">
        <f aca="false">IF(D942="","",MIN(Sigma!AJ129:AJ130))</f>
        <v/>
      </c>
    </row>
    <row r="943" customFormat="false" ht="15" hidden="false" customHeight="true" outlineLevel="0" collapsed="false">
      <c r="A943" s="9" t="s">
        <v>291</v>
      </c>
      <c r="B943" s="11" t="s">
        <v>122</v>
      </c>
      <c r="C943" s="11" t="s">
        <v>321</v>
      </c>
      <c r="D943" s="27" t="str">
        <f aca="false">IF('TEa input'!Z64="","",'TEa input'!Z64)</f>
        <v/>
      </c>
      <c r="E943" s="28" t="str">
        <f aca="false">IF(D943="","",MIN(Sigma!AK129:AK130))</f>
        <v/>
      </c>
    </row>
    <row r="944" customFormat="false" ht="15" hidden="false" customHeight="true" outlineLevel="0" collapsed="false">
      <c r="A944" s="9" t="s">
        <v>291</v>
      </c>
      <c r="B944" s="11" t="s">
        <v>122</v>
      </c>
      <c r="C944" s="11" t="s">
        <v>322</v>
      </c>
      <c r="D944" s="27" t="str">
        <f aca="false">IF('TEa input'!AA64="","",'TEa input'!AA64)</f>
        <v/>
      </c>
      <c r="E944" s="28" t="str">
        <f aca="false">IF(D944="","",MIN(Sigma!AL129:AL130))</f>
        <v/>
      </c>
    </row>
    <row r="945" customFormat="false" ht="15" hidden="false" customHeight="true" outlineLevel="0" collapsed="false">
      <c r="A945" s="9" t="s">
        <v>291</v>
      </c>
      <c r="B945" s="11" t="s">
        <v>122</v>
      </c>
      <c r="C945" s="11" t="s">
        <v>323</v>
      </c>
      <c r="D945" s="27" t="str">
        <f aca="false">IF('TEa input'!AB64="","",'TEa input'!AB64)</f>
        <v/>
      </c>
      <c r="E945" s="28" t="str">
        <f aca="false">IF(D945="","",MIN(Sigma!AM129:AM130))</f>
        <v/>
      </c>
    </row>
    <row r="946" customFormat="false" ht="15" hidden="false" customHeight="true" outlineLevel="0" collapsed="false">
      <c r="A946" s="9" t="s">
        <v>291</v>
      </c>
      <c r="B946" s="11" t="s">
        <v>122</v>
      </c>
      <c r="C946" s="11" t="s">
        <v>324</v>
      </c>
      <c r="D946" s="27" t="n">
        <f aca="false">IF('TEa input'!AC64="","",'TEa input'!AC64)</f>
        <v>24.7</v>
      </c>
      <c r="E946" s="28" t="n">
        <f aca="false">IF(D946="","",MIN(Sigma!AN129:AN130))</f>
        <v>4.61254384155147</v>
      </c>
    </row>
    <row r="947" customFormat="false" ht="15" hidden="false" customHeight="true" outlineLevel="0" collapsed="false">
      <c r="A947" s="9" t="s">
        <v>291</v>
      </c>
      <c r="B947" s="11" t="s">
        <v>122</v>
      </c>
      <c r="C947" s="11" t="s">
        <v>325</v>
      </c>
      <c r="D947" s="27" t="str">
        <f aca="false">IF('TEa input'!AD64="","",'TEa input'!AD64)</f>
        <v/>
      </c>
      <c r="E947" s="28" t="str">
        <f aca="false">IF(D947="","",MIN(Sigma!AO129:AO130))</f>
        <v/>
      </c>
    </row>
    <row r="948" customFormat="false" ht="15" hidden="false" customHeight="true" outlineLevel="0" collapsed="false">
      <c r="A948" s="9" t="s">
        <v>291</v>
      </c>
      <c r="B948" s="11" t="s">
        <v>122</v>
      </c>
      <c r="C948" s="29" t="str">
        <f aca="false">IF('TEa input'!AE64="","Other",'TEa input'!AE64)</f>
        <v>Other</v>
      </c>
      <c r="D948" s="27" t="str">
        <f aca="false">IF('TEa input'!AF64="","",'TEa input'!AF64)</f>
        <v/>
      </c>
      <c r="E948" s="28" t="str">
        <f aca="false">IF(D948="","",MIN(Sigma!AP129:AP130))</f>
        <v/>
      </c>
    </row>
    <row r="949" customFormat="false" ht="15" hidden="false" customHeight="true" outlineLevel="0" collapsed="false">
      <c r="A949" s="9" t="s">
        <v>296</v>
      </c>
      <c r="B949" s="11" t="s">
        <v>122</v>
      </c>
      <c r="C949" s="11" t="s">
        <v>26</v>
      </c>
      <c r="D949" s="27" t="str">
        <f aca="false">IF('TEa input'!E65="","",'TEa input'!E65)</f>
        <v/>
      </c>
      <c r="E949" s="28" t="str">
        <f aca="false">IF(D949="","",MIN(Sigma!AA131:AA132))</f>
        <v/>
      </c>
    </row>
    <row r="950" customFormat="false" ht="15" hidden="false" customHeight="true" outlineLevel="0" collapsed="false">
      <c r="A950" s="9" t="s">
        <v>296</v>
      </c>
      <c r="B950" s="11" t="s">
        <v>122</v>
      </c>
      <c r="C950" s="11" t="s">
        <v>27</v>
      </c>
      <c r="D950" s="27" t="n">
        <f aca="false">IF('TEa input'!G65="","",'TEa input'!G65)</f>
        <v>20</v>
      </c>
      <c r="E950" s="28" t="n">
        <f aca="false">IF(D950="","",MIN(Sigma!AB131:AB132))</f>
        <v>4.35066696812118</v>
      </c>
    </row>
    <row r="951" customFormat="false" ht="15" hidden="false" customHeight="true" outlineLevel="0" collapsed="false">
      <c r="A951" s="9" t="s">
        <v>296</v>
      </c>
      <c r="B951" s="11" t="s">
        <v>122</v>
      </c>
      <c r="C951" s="11" t="s">
        <v>28</v>
      </c>
      <c r="D951" s="27" t="n">
        <f aca="false">IF('TEa input'!I65="","",'TEa input'!I65)</f>
        <v>16</v>
      </c>
      <c r="E951" s="28" t="n">
        <f aca="false">IF(D951="","",MIN(Sigma!AC131:AC132))</f>
        <v>3.44630341397242</v>
      </c>
    </row>
    <row r="952" customFormat="false" ht="15" hidden="false" customHeight="true" outlineLevel="0" collapsed="false">
      <c r="A952" s="9" t="s">
        <v>296</v>
      </c>
      <c r="B952" s="11" t="s">
        <v>122</v>
      </c>
      <c r="C952" s="11" t="s">
        <v>29</v>
      </c>
      <c r="D952" s="27" t="str">
        <f aca="false">IF('TEa input'!K65="","",'TEa input'!K65)</f>
        <v/>
      </c>
      <c r="E952" s="28" t="str">
        <f aca="false">IF(D952="","",MIN(Sigma!AD131:AD132))</f>
        <v/>
      </c>
    </row>
    <row r="953" customFormat="false" ht="15" hidden="false" customHeight="true" outlineLevel="0" collapsed="false">
      <c r="A953" s="9" t="s">
        <v>296</v>
      </c>
      <c r="B953" s="11" t="s">
        <v>122</v>
      </c>
      <c r="C953" s="11" t="s">
        <v>30</v>
      </c>
      <c r="D953" s="27" t="n">
        <f aca="false">IF('TEa input'!M65="","",'TEa input'!M65)</f>
        <v>12</v>
      </c>
      <c r="E953" s="28" t="n">
        <f aca="false">IF(D953="","",MIN(Sigma!AE131:AE132))</f>
        <v>2.54193985982365</v>
      </c>
    </row>
    <row r="954" customFormat="false" ht="15" hidden="false" customHeight="true" outlineLevel="0" collapsed="false">
      <c r="A954" s="9" t="s">
        <v>296</v>
      </c>
      <c r="B954" s="11" t="s">
        <v>122</v>
      </c>
      <c r="C954" s="11" t="s">
        <v>31</v>
      </c>
      <c r="D954" s="27" t="n">
        <f aca="false">IF('TEa input'!O65="","",'TEa input'!O65)</f>
        <v>25</v>
      </c>
      <c r="E954" s="28" t="n">
        <f aca="false">IF(D954="","",MIN(Sigma!AF131:AF132))</f>
        <v>5.48112141080714</v>
      </c>
    </row>
    <row r="955" customFormat="false" ht="15" hidden="false" customHeight="true" outlineLevel="0" collapsed="false">
      <c r="A955" s="9" t="s">
        <v>296</v>
      </c>
      <c r="B955" s="11" t="s">
        <v>122</v>
      </c>
      <c r="C955" s="11" t="s">
        <v>32</v>
      </c>
      <c r="D955" s="27" t="str">
        <f aca="false">IF('TEa input'!Q65="","",'TEa input'!Q65)</f>
        <v/>
      </c>
      <c r="E955" s="28" t="str">
        <f aca="false">IF(D955="","",MIN(Sigma!AG131:AG132))</f>
        <v/>
      </c>
    </row>
    <row r="956" customFormat="false" ht="15" hidden="false" customHeight="true" outlineLevel="0" collapsed="false">
      <c r="A956" s="9" t="s">
        <v>296</v>
      </c>
      <c r="B956" s="11" t="s">
        <v>122</v>
      </c>
      <c r="C956" s="11" t="s">
        <v>33</v>
      </c>
      <c r="D956" s="27" t="str">
        <f aca="false">IF('TEa input'!R65="","",'TEa input'!R65)</f>
        <v/>
      </c>
      <c r="E956" s="28" t="str">
        <f aca="false">IF(D956="","",MIN(Sigma!AH131:AH132))</f>
        <v/>
      </c>
    </row>
    <row r="957" customFormat="false" ht="15" hidden="false" customHeight="true" outlineLevel="0" collapsed="false">
      <c r="A957" s="9" t="s">
        <v>296</v>
      </c>
      <c r="B957" s="11" t="s">
        <v>122</v>
      </c>
      <c r="C957" s="11" t="s">
        <v>34</v>
      </c>
      <c r="D957" s="27" t="str">
        <f aca="false">IF('TEa input'!T65="","",'TEa input'!T65)</f>
        <v/>
      </c>
      <c r="E957" s="28" t="str">
        <f aca="false">IF(D957="","",MIN(Sigma!AI131:AI132))</f>
        <v/>
      </c>
    </row>
    <row r="958" customFormat="false" ht="15" hidden="false" customHeight="true" outlineLevel="0" collapsed="false">
      <c r="A958" s="9" t="s">
        <v>296</v>
      </c>
      <c r="B958" s="11" t="s">
        <v>122</v>
      </c>
      <c r="C958" s="11" t="s">
        <v>320</v>
      </c>
      <c r="D958" s="27" t="str">
        <f aca="false">IF('TEa input'!Y65="","",'TEa input'!Y65)</f>
        <v/>
      </c>
      <c r="E958" s="28" t="str">
        <f aca="false">IF(D958="","",MIN(Sigma!AJ131:AJ132))</f>
        <v/>
      </c>
    </row>
    <row r="959" customFormat="false" ht="15" hidden="false" customHeight="true" outlineLevel="0" collapsed="false">
      <c r="A959" s="9" t="s">
        <v>296</v>
      </c>
      <c r="B959" s="11" t="s">
        <v>122</v>
      </c>
      <c r="C959" s="11" t="s">
        <v>321</v>
      </c>
      <c r="D959" s="27" t="str">
        <f aca="false">IF('TEa input'!Z65="","",'TEa input'!Z65)</f>
        <v/>
      </c>
      <c r="E959" s="28" t="str">
        <f aca="false">IF(D959="","",MIN(Sigma!AK131:AK132))</f>
        <v/>
      </c>
    </row>
    <row r="960" customFormat="false" ht="15" hidden="false" customHeight="true" outlineLevel="0" collapsed="false">
      <c r="A960" s="9" t="s">
        <v>296</v>
      </c>
      <c r="B960" s="11" t="s">
        <v>122</v>
      </c>
      <c r="C960" s="11" t="s">
        <v>322</v>
      </c>
      <c r="D960" s="27" t="str">
        <f aca="false">IF('TEa input'!AA65="","",'TEa input'!AA65)</f>
        <v/>
      </c>
      <c r="E960" s="28" t="str">
        <f aca="false">IF(D960="","",MIN(Sigma!AL131:AL132))</f>
        <v/>
      </c>
    </row>
    <row r="961" customFormat="false" ht="15" hidden="false" customHeight="true" outlineLevel="0" collapsed="false">
      <c r="A961" s="9" t="s">
        <v>296</v>
      </c>
      <c r="B961" s="11" t="s">
        <v>122</v>
      </c>
      <c r="C961" s="11" t="s">
        <v>323</v>
      </c>
      <c r="D961" s="27" t="str">
        <f aca="false">IF('TEa input'!AB65="","",'TEa input'!AB65)</f>
        <v/>
      </c>
      <c r="E961" s="28" t="str">
        <f aca="false">IF(D961="","",MIN(Sigma!AM131:AM132))</f>
        <v/>
      </c>
    </row>
    <row r="962" customFormat="false" ht="15" hidden="false" customHeight="true" outlineLevel="0" collapsed="false">
      <c r="A962" s="9" t="s">
        <v>296</v>
      </c>
      <c r="B962" s="11" t="s">
        <v>122</v>
      </c>
      <c r="C962" s="11" t="s">
        <v>324</v>
      </c>
      <c r="D962" s="27" t="str">
        <f aca="false">IF('TEa input'!AC65="","",'TEa input'!AC65)</f>
        <v/>
      </c>
      <c r="E962" s="28" t="str">
        <f aca="false">IF(D962="","",MIN(Sigma!AN131:AN132))</f>
        <v/>
      </c>
    </row>
    <row r="963" customFormat="false" ht="15" hidden="false" customHeight="true" outlineLevel="0" collapsed="false">
      <c r="A963" s="9" t="s">
        <v>296</v>
      </c>
      <c r="B963" s="11" t="s">
        <v>122</v>
      </c>
      <c r="C963" s="11" t="s">
        <v>325</v>
      </c>
      <c r="D963" s="27" t="str">
        <f aca="false">IF('TEa input'!AD65="","",'TEa input'!AD65)</f>
        <v/>
      </c>
      <c r="E963" s="28" t="str">
        <f aca="false">IF(D963="","",MIN(Sigma!AO131:AO132))</f>
        <v/>
      </c>
    </row>
    <row r="964" customFormat="false" ht="15" hidden="false" customHeight="true" outlineLevel="0" collapsed="false">
      <c r="A964" s="9" t="s">
        <v>296</v>
      </c>
      <c r="B964" s="11" t="s">
        <v>122</v>
      </c>
      <c r="C964" s="29" t="str">
        <f aca="false">IF('TEa input'!AE65="","Other",'TEa input'!AE65)</f>
        <v>Other</v>
      </c>
      <c r="D964" s="27" t="str">
        <f aca="false">IF('TEa input'!AF65="","",'TEa input'!AF65)</f>
        <v/>
      </c>
      <c r="E964" s="28" t="str">
        <f aca="false">IF(D964="","",MIN(Sigma!AP131:AP132))</f>
        <v/>
      </c>
    </row>
    <row r="965" customFormat="false" ht="15" hidden="false" customHeight="true" outlineLevel="0" collapsed="false">
      <c r="A965" s="9" t="s">
        <v>301</v>
      </c>
      <c r="B965" s="11" t="s">
        <v>122</v>
      </c>
      <c r="C965" s="11" t="s">
        <v>26</v>
      </c>
      <c r="D965" s="27" t="str">
        <f aca="false">IF('TEa input'!E66="","",'TEa input'!E66)</f>
        <v/>
      </c>
      <c r="E965" s="28" t="str">
        <f aca="false">IF(D965="","",MIN(Sigma!AA133:AA134))</f>
        <v/>
      </c>
    </row>
    <row r="966" customFormat="false" ht="15" hidden="false" customHeight="true" outlineLevel="0" collapsed="false">
      <c r="A966" s="9" t="s">
        <v>301</v>
      </c>
      <c r="B966" s="11" t="s">
        <v>122</v>
      </c>
      <c r="C966" s="11" t="s">
        <v>27</v>
      </c>
      <c r="D966" s="27" t="str">
        <f aca="false">IF('TEa input'!G66="","",'TEa input'!G66)</f>
        <v/>
      </c>
      <c r="E966" s="28" t="str">
        <f aca="false">IF(D966="","",MIN(Sigma!AB133:AB134))</f>
        <v/>
      </c>
    </row>
    <row r="967" customFormat="false" ht="15" hidden="false" customHeight="true" outlineLevel="0" collapsed="false">
      <c r="A967" s="9" t="s">
        <v>301</v>
      </c>
      <c r="B967" s="11" t="s">
        <v>122</v>
      </c>
      <c r="C967" s="11" t="s">
        <v>28</v>
      </c>
      <c r="D967" s="27" t="str">
        <f aca="false">IF('TEa input'!I66="","",'TEa input'!I66)</f>
        <v/>
      </c>
      <c r="E967" s="28" t="str">
        <f aca="false">IF(D967="","",MIN(Sigma!AC133:AC134))</f>
        <v/>
      </c>
    </row>
    <row r="968" customFormat="false" ht="15" hidden="false" customHeight="true" outlineLevel="0" collapsed="false">
      <c r="A968" s="9" t="s">
        <v>301</v>
      </c>
      <c r="B968" s="11" t="s">
        <v>122</v>
      </c>
      <c r="C968" s="11" t="s">
        <v>29</v>
      </c>
      <c r="D968" s="27" t="str">
        <f aca="false">IF('TEa input'!K66="","",'TEa input'!K66)</f>
        <v/>
      </c>
      <c r="E968" s="28" t="str">
        <f aca="false">IF(D968="","",MIN(Sigma!AD133:AD134))</f>
        <v/>
      </c>
    </row>
    <row r="969" customFormat="false" ht="15" hidden="false" customHeight="true" outlineLevel="0" collapsed="false">
      <c r="A969" s="9" t="s">
        <v>301</v>
      </c>
      <c r="B969" s="11" t="s">
        <v>122</v>
      </c>
      <c r="C969" s="11" t="s">
        <v>30</v>
      </c>
      <c r="D969" s="27" t="str">
        <f aca="false">IF('TEa input'!M66="","",'TEa input'!M66)</f>
        <v/>
      </c>
      <c r="E969" s="28" t="str">
        <f aca="false">IF(D969="","",MIN(Sigma!AE133:AE134))</f>
        <v/>
      </c>
    </row>
    <row r="970" customFormat="false" ht="15" hidden="false" customHeight="true" outlineLevel="0" collapsed="false">
      <c r="A970" s="9" t="s">
        <v>301</v>
      </c>
      <c r="B970" s="11" t="s">
        <v>122</v>
      </c>
      <c r="C970" s="11" t="s">
        <v>31</v>
      </c>
      <c r="D970" s="27" t="str">
        <f aca="false">IF('TEa input'!O66="","",'TEa input'!O66)</f>
        <v/>
      </c>
      <c r="E970" s="28" t="str">
        <f aca="false">IF(D970="","",MIN(Sigma!AF133:AF134))</f>
        <v/>
      </c>
    </row>
    <row r="971" customFormat="false" ht="15" hidden="false" customHeight="true" outlineLevel="0" collapsed="false">
      <c r="A971" s="9" t="s">
        <v>301</v>
      </c>
      <c r="B971" s="11" t="s">
        <v>122</v>
      </c>
      <c r="C971" s="11" t="s">
        <v>32</v>
      </c>
      <c r="D971" s="27" t="str">
        <f aca="false">IF('TEa input'!Q66="","",'TEa input'!Q66)</f>
        <v/>
      </c>
      <c r="E971" s="28" t="str">
        <f aca="false">IF(D971="","",MIN(Sigma!AG133:AG134))</f>
        <v/>
      </c>
    </row>
    <row r="972" customFormat="false" ht="15" hidden="false" customHeight="true" outlineLevel="0" collapsed="false">
      <c r="A972" s="9" t="s">
        <v>301</v>
      </c>
      <c r="B972" s="11" t="s">
        <v>122</v>
      </c>
      <c r="C972" s="11" t="s">
        <v>33</v>
      </c>
      <c r="D972" s="27" t="str">
        <f aca="false">IF('TEa input'!R66="","",'TEa input'!R66)</f>
        <v/>
      </c>
      <c r="E972" s="28" t="str">
        <f aca="false">IF(D972="","",MIN(Sigma!AH133:AH134))</f>
        <v/>
      </c>
    </row>
    <row r="973" customFormat="false" ht="15" hidden="false" customHeight="true" outlineLevel="0" collapsed="false">
      <c r="A973" s="9" t="s">
        <v>301</v>
      </c>
      <c r="B973" s="11" t="s">
        <v>122</v>
      </c>
      <c r="C973" s="11" t="s">
        <v>34</v>
      </c>
      <c r="D973" s="27" t="str">
        <f aca="false">IF('TEa input'!T66="","",'TEa input'!T66)</f>
        <v/>
      </c>
      <c r="E973" s="28" t="str">
        <f aca="false">IF(D973="","",MIN(Sigma!AI133:AI134))</f>
        <v/>
      </c>
    </row>
    <row r="974" customFormat="false" ht="15" hidden="false" customHeight="true" outlineLevel="0" collapsed="false">
      <c r="A974" s="9" t="s">
        <v>301</v>
      </c>
      <c r="B974" s="11" t="s">
        <v>122</v>
      </c>
      <c r="C974" s="11" t="s">
        <v>320</v>
      </c>
      <c r="D974" s="27" t="str">
        <f aca="false">IF('TEa input'!Y66="","",'TEa input'!Y66)</f>
        <v/>
      </c>
      <c r="E974" s="28" t="str">
        <f aca="false">IF(D974="","",MIN(Sigma!AJ133:AJ134))</f>
        <v/>
      </c>
    </row>
    <row r="975" customFormat="false" ht="15" hidden="false" customHeight="true" outlineLevel="0" collapsed="false">
      <c r="A975" s="9" t="s">
        <v>301</v>
      </c>
      <c r="B975" s="11" t="s">
        <v>122</v>
      </c>
      <c r="C975" s="11" t="s">
        <v>321</v>
      </c>
      <c r="D975" s="27" t="str">
        <f aca="false">IF('TEa input'!Z66="","",'TEa input'!Z66)</f>
        <v/>
      </c>
      <c r="E975" s="28" t="str">
        <f aca="false">IF(D975="","",MIN(Sigma!AK133:AK134))</f>
        <v/>
      </c>
    </row>
    <row r="976" customFormat="false" ht="15" hidden="false" customHeight="true" outlineLevel="0" collapsed="false">
      <c r="A976" s="9" t="s">
        <v>301</v>
      </c>
      <c r="B976" s="11" t="s">
        <v>122</v>
      </c>
      <c r="C976" s="11" t="s">
        <v>322</v>
      </c>
      <c r="D976" s="27" t="str">
        <f aca="false">IF('TEa input'!AA66="","",'TEa input'!AA66)</f>
        <v/>
      </c>
      <c r="E976" s="28" t="str">
        <f aca="false">IF(D976="","",MIN(Sigma!AL133:AL134))</f>
        <v/>
      </c>
    </row>
    <row r="977" customFormat="false" ht="15" hidden="false" customHeight="true" outlineLevel="0" collapsed="false">
      <c r="A977" s="9" t="s">
        <v>301</v>
      </c>
      <c r="B977" s="11" t="s">
        <v>122</v>
      </c>
      <c r="C977" s="11" t="s">
        <v>323</v>
      </c>
      <c r="D977" s="27" t="str">
        <f aca="false">IF('TEa input'!AB66="","",'TEa input'!AB66)</f>
        <v/>
      </c>
      <c r="E977" s="28" t="str">
        <f aca="false">IF(D977="","",MIN(Sigma!AM133:AM134))</f>
        <v/>
      </c>
    </row>
    <row r="978" customFormat="false" ht="15" hidden="false" customHeight="true" outlineLevel="0" collapsed="false">
      <c r="A978" s="9" t="s">
        <v>301</v>
      </c>
      <c r="B978" s="11" t="s">
        <v>122</v>
      </c>
      <c r="C978" s="11" t="s">
        <v>324</v>
      </c>
      <c r="D978" s="27" t="str">
        <f aca="false">IF('TEa input'!AC66="","",'TEa input'!AC66)</f>
        <v/>
      </c>
      <c r="E978" s="28" t="str">
        <f aca="false">IF(D978="","",MIN(Sigma!AN133:AN134))</f>
        <v/>
      </c>
    </row>
    <row r="979" customFormat="false" ht="15" hidden="false" customHeight="true" outlineLevel="0" collapsed="false">
      <c r="A979" s="9" t="s">
        <v>301</v>
      </c>
      <c r="B979" s="11" t="s">
        <v>122</v>
      </c>
      <c r="C979" s="11" t="s">
        <v>325</v>
      </c>
      <c r="D979" s="27" t="str">
        <f aca="false">IF('TEa input'!AD66="","",'TEa input'!AD66)</f>
        <v/>
      </c>
      <c r="E979" s="28" t="str">
        <f aca="false">IF(D979="","",MIN(Sigma!AO133:AO134))</f>
        <v/>
      </c>
    </row>
    <row r="980" customFormat="false" ht="15" hidden="false" customHeight="true" outlineLevel="0" collapsed="false">
      <c r="A980" s="9" t="s">
        <v>301</v>
      </c>
      <c r="B980" s="11" t="s">
        <v>122</v>
      </c>
      <c r="C980" s="29" t="str">
        <f aca="false">IF('TEa input'!AE66="","Other",'TEa input'!AE66)</f>
        <v>Other</v>
      </c>
      <c r="D980" s="27" t="str">
        <f aca="false">IF('TEa input'!AF66="","",'TEa input'!AF66)</f>
        <v/>
      </c>
      <c r="E980" s="28" t="str">
        <f aca="false">IF(D980="","",MIN(Sigma!AP133:AP134))</f>
        <v/>
      </c>
    </row>
    <row r="981" customFormat="false" ht="15" hidden="false" customHeight="true" outlineLevel="0" collapsed="false">
      <c r="A981" s="9" t="s">
        <v>303</v>
      </c>
      <c r="B981" s="11" t="s">
        <v>122</v>
      </c>
      <c r="C981" s="11" t="s">
        <v>26</v>
      </c>
      <c r="D981" s="27" t="str">
        <f aca="false">IF('TEa input'!E67="","",'TEa input'!E67)</f>
        <v/>
      </c>
      <c r="E981" s="28" t="str">
        <f aca="false">IF(D981="","",MIN(Sigma!AA135:AA136))</f>
        <v/>
      </c>
    </row>
    <row r="982" customFormat="false" ht="15" hidden="false" customHeight="true" outlineLevel="0" collapsed="false">
      <c r="A982" s="9" t="s">
        <v>303</v>
      </c>
      <c r="B982" s="11" t="s">
        <v>122</v>
      </c>
      <c r="C982" s="11" t="s">
        <v>27</v>
      </c>
      <c r="D982" s="27" t="str">
        <f aca="false">IF('TEa input'!G67="","",'TEa input'!G67)</f>
        <v/>
      </c>
      <c r="E982" s="28" t="str">
        <f aca="false">IF(D982="","",MIN(Sigma!AB135:AB136))</f>
        <v/>
      </c>
    </row>
    <row r="983" customFormat="false" ht="15" hidden="false" customHeight="true" outlineLevel="0" collapsed="false">
      <c r="A983" s="9" t="s">
        <v>303</v>
      </c>
      <c r="B983" s="11" t="s">
        <v>122</v>
      </c>
      <c r="C983" s="11" t="s">
        <v>28</v>
      </c>
      <c r="D983" s="27" t="str">
        <f aca="false">IF('TEa input'!I67="","",'TEa input'!I67)</f>
        <v/>
      </c>
      <c r="E983" s="28" t="str">
        <f aca="false">IF(D983="","",MIN(Sigma!AC135:AC136))</f>
        <v/>
      </c>
    </row>
    <row r="984" customFormat="false" ht="15" hidden="false" customHeight="true" outlineLevel="0" collapsed="false">
      <c r="A984" s="9" t="s">
        <v>303</v>
      </c>
      <c r="B984" s="11" t="s">
        <v>122</v>
      </c>
      <c r="C984" s="11" t="s">
        <v>29</v>
      </c>
      <c r="D984" s="27" t="str">
        <f aca="false">IF('TEa input'!K67="","",'TEa input'!K67)</f>
        <v/>
      </c>
      <c r="E984" s="28" t="str">
        <f aca="false">IF(D984="","",MIN(Sigma!AD135:AD136))</f>
        <v/>
      </c>
    </row>
    <row r="985" customFormat="false" ht="15" hidden="false" customHeight="true" outlineLevel="0" collapsed="false">
      <c r="A985" s="9" t="s">
        <v>303</v>
      </c>
      <c r="B985" s="11" t="s">
        <v>122</v>
      </c>
      <c r="C985" s="11" t="s">
        <v>30</v>
      </c>
      <c r="D985" s="27" t="str">
        <f aca="false">IF('TEa input'!M67="","",'TEa input'!M67)</f>
        <v/>
      </c>
      <c r="E985" s="28" t="str">
        <f aca="false">IF(D985="","",MIN(Sigma!AE135:AE136))</f>
        <v/>
      </c>
    </row>
    <row r="986" customFormat="false" ht="15" hidden="false" customHeight="true" outlineLevel="0" collapsed="false">
      <c r="A986" s="9" t="s">
        <v>303</v>
      </c>
      <c r="B986" s="11" t="s">
        <v>122</v>
      </c>
      <c r="C986" s="11" t="s">
        <v>31</v>
      </c>
      <c r="D986" s="27" t="str">
        <f aca="false">IF('TEa input'!O67="","",'TEa input'!O67)</f>
        <v/>
      </c>
      <c r="E986" s="28" t="str">
        <f aca="false">IF(D986="","",MIN(Sigma!AF135:AF136))</f>
        <v/>
      </c>
    </row>
    <row r="987" customFormat="false" ht="15" hidden="false" customHeight="true" outlineLevel="0" collapsed="false">
      <c r="A987" s="9" t="s">
        <v>303</v>
      </c>
      <c r="B987" s="11" t="s">
        <v>122</v>
      </c>
      <c r="C987" s="11" t="s">
        <v>32</v>
      </c>
      <c r="D987" s="27" t="str">
        <f aca="false">IF('TEa input'!Q67="","",'TEa input'!Q67)</f>
        <v/>
      </c>
      <c r="E987" s="28" t="str">
        <f aca="false">IF(D987="","",MIN(Sigma!AG135:AG136))</f>
        <v/>
      </c>
    </row>
    <row r="988" customFormat="false" ht="15" hidden="false" customHeight="true" outlineLevel="0" collapsed="false">
      <c r="A988" s="9" t="s">
        <v>303</v>
      </c>
      <c r="B988" s="11" t="s">
        <v>122</v>
      </c>
      <c r="C988" s="11" t="s">
        <v>33</v>
      </c>
      <c r="D988" s="27" t="str">
        <f aca="false">IF('TEa input'!R67="","",'TEa input'!R67)</f>
        <v/>
      </c>
      <c r="E988" s="28" t="str">
        <f aca="false">IF(D988="","",MIN(Sigma!AH135:AH136))</f>
        <v/>
      </c>
    </row>
    <row r="989" customFormat="false" ht="15" hidden="false" customHeight="true" outlineLevel="0" collapsed="false">
      <c r="A989" s="9" t="s">
        <v>303</v>
      </c>
      <c r="B989" s="11" t="s">
        <v>122</v>
      </c>
      <c r="C989" s="11" t="s">
        <v>34</v>
      </c>
      <c r="D989" s="27" t="str">
        <f aca="false">IF('TEa input'!T67="","",'TEa input'!T67)</f>
        <v/>
      </c>
      <c r="E989" s="28" t="str">
        <f aca="false">IF(D989="","",MIN(Sigma!AI135:AI136))</f>
        <v/>
      </c>
    </row>
    <row r="990" customFormat="false" ht="15" hidden="false" customHeight="true" outlineLevel="0" collapsed="false">
      <c r="A990" s="9" t="s">
        <v>303</v>
      </c>
      <c r="B990" s="11" t="s">
        <v>122</v>
      </c>
      <c r="C990" s="11" t="s">
        <v>320</v>
      </c>
      <c r="D990" s="27" t="str">
        <f aca="false">IF('TEa input'!Y67="","",'TEa input'!Y67)</f>
        <v/>
      </c>
      <c r="E990" s="28" t="str">
        <f aca="false">IF(D990="","",MIN(Sigma!AJ135:AJ136))</f>
        <v/>
      </c>
    </row>
    <row r="991" customFormat="false" ht="15" hidden="false" customHeight="true" outlineLevel="0" collapsed="false">
      <c r="A991" s="9" t="s">
        <v>303</v>
      </c>
      <c r="B991" s="11" t="s">
        <v>122</v>
      </c>
      <c r="C991" s="11" t="s">
        <v>321</v>
      </c>
      <c r="D991" s="27" t="str">
        <f aca="false">IF('TEa input'!Z67="","",'TEa input'!Z67)</f>
        <v/>
      </c>
      <c r="E991" s="28" t="str">
        <f aca="false">IF(D991="","",MIN(Sigma!AK135:AK136))</f>
        <v/>
      </c>
    </row>
    <row r="992" customFormat="false" ht="15" hidden="false" customHeight="true" outlineLevel="0" collapsed="false">
      <c r="A992" s="9" t="s">
        <v>303</v>
      </c>
      <c r="B992" s="11" t="s">
        <v>122</v>
      </c>
      <c r="C992" s="11" t="s">
        <v>322</v>
      </c>
      <c r="D992" s="27" t="str">
        <f aca="false">IF('TEa input'!AA67="","",'TEa input'!AA67)</f>
        <v/>
      </c>
      <c r="E992" s="28" t="str">
        <f aca="false">IF(D992="","",MIN(Sigma!AL135:AL136))</f>
        <v/>
      </c>
    </row>
    <row r="993" customFormat="false" ht="15" hidden="false" customHeight="true" outlineLevel="0" collapsed="false">
      <c r="A993" s="9" t="s">
        <v>303</v>
      </c>
      <c r="B993" s="11" t="s">
        <v>122</v>
      </c>
      <c r="C993" s="11" t="s">
        <v>323</v>
      </c>
      <c r="D993" s="27" t="str">
        <f aca="false">IF('TEa input'!AB67="","",'TEa input'!AB67)</f>
        <v/>
      </c>
      <c r="E993" s="28" t="str">
        <f aca="false">IF(D993="","",MIN(Sigma!AM135:AM136))</f>
        <v/>
      </c>
    </row>
    <row r="994" customFormat="false" ht="15" hidden="false" customHeight="true" outlineLevel="0" collapsed="false">
      <c r="A994" s="9" t="s">
        <v>303</v>
      </c>
      <c r="B994" s="11" t="s">
        <v>122</v>
      </c>
      <c r="C994" s="11" t="s">
        <v>324</v>
      </c>
      <c r="D994" s="27" t="str">
        <f aca="false">IF('TEa input'!AC67="","",'TEa input'!AC67)</f>
        <v/>
      </c>
      <c r="E994" s="28" t="str">
        <f aca="false">IF(D994="","",MIN(Sigma!AN135:AN136))</f>
        <v/>
      </c>
    </row>
    <row r="995" customFormat="false" ht="15" hidden="false" customHeight="true" outlineLevel="0" collapsed="false">
      <c r="A995" s="9" t="s">
        <v>303</v>
      </c>
      <c r="B995" s="11" t="s">
        <v>122</v>
      </c>
      <c r="C995" s="11" t="s">
        <v>325</v>
      </c>
      <c r="D995" s="27" t="str">
        <f aca="false">IF('TEa input'!AD67="","",'TEa input'!AD67)</f>
        <v/>
      </c>
      <c r="E995" s="28" t="str">
        <f aca="false">IF(D995="","",MIN(Sigma!AO135:AO136))</f>
        <v/>
      </c>
    </row>
    <row r="996" customFormat="false" ht="15" hidden="false" customHeight="true" outlineLevel="0" collapsed="false">
      <c r="A996" s="9" t="s">
        <v>303</v>
      </c>
      <c r="B996" s="11" t="s">
        <v>122</v>
      </c>
      <c r="C996" s="29" t="str">
        <f aca="false">IF('TEa input'!AE67="","Other",'TEa input'!AE67)</f>
        <v>Other</v>
      </c>
      <c r="D996" s="27" t="str">
        <f aca="false">IF('TEa input'!AF67="","",'TEa input'!AF67)</f>
        <v/>
      </c>
      <c r="E996" s="28" t="str">
        <f aca="false">IF(D996="","",MIN(Sigma!AP135:AP136))</f>
        <v/>
      </c>
    </row>
    <row r="997" customFormat="false" ht="15" hidden="false" customHeight="true" outlineLevel="0" collapsed="false">
      <c r="A997" s="9" t="s">
        <v>305</v>
      </c>
      <c r="B997" s="11" t="s">
        <v>122</v>
      </c>
      <c r="C997" s="11" t="s">
        <v>26</v>
      </c>
      <c r="D997" s="27" t="str">
        <f aca="false">IF('TEa input'!E68="","",'TEa input'!E68)</f>
        <v/>
      </c>
      <c r="E997" s="28" t="str">
        <f aca="false">IF(D997="","",MIN(Sigma!AA137:AA138))</f>
        <v/>
      </c>
    </row>
    <row r="998" customFormat="false" ht="15" hidden="false" customHeight="true" outlineLevel="0" collapsed="false">
      <c r="A998" s="9" t="s">
        <v>305</v>
      </c>
      <c r="B998" s="11" t="s">
        <v>122</v>
      </c>
      <c r="C998" s="11" t="s">
        <v>27</v>
      </c>
      <c r="D998" s="27" t="n">
        <f aca="false">IF('TEa input'!G68="","",'TEa input'!G68)</f>
        <v>15</v>
      </c>
      <c r="E998" s="28" t="n">
        <f aca="false">IF(D998="","",MIN(Sigma!AB137:AB138))</f>
        <v>2.34626345788474</v>
      </c>
    </row>
    <row r="999" customFormat="false" ht="15" hidden="false" customHeight="true" outlineLevel="0" collapsed="false">
      <c r="A999" s="9" t="s">
        <v>305</v>
      </c>
      <c r="B999" s="11" t="s">
        <v>122</v>
      </c>
      <c r="C999" s="11" t="s">
        <v>28</v>
      </c>
      <c r="D999" s="27" t="str">
        <f aca="false">IF('TEa input'!I68="","",'TEa input'!I68)</f>
        <v/>
      </c>
      <c r="E999" s="28" t="str">
        <f aca="false">IF(D999="","",MIN(Sigma!AC137:AC138))</f>
        <v/>
      </c>
    </row>
    <row r="1000" customFormat="false" ht="15" hidden="false" customHeight="true" outlineLevel="0" collapsed="false">
      <c r="A1000" s="9" t="s">
        <v>305</v>
      </c>
      <c r="B1000" s="11" t="s">
        <v>122</v>
      </c>
      <c r="C1000" s="11" t="s">
        <v>29</v>
      </c>
      <c r="D1000" s="27" t="str">
        <f aca="false">IF('TEa input'!K68="","",'TEa input'!K68)</f>
        <v/>
      </c>
      <c r="E1000" s="28" t="str">
        <f aca="false">IF(D1000="","",MIN(Sigma!AD137:AD138))</f>
        <v/>
      </c>
    </row>
    <row r="1001" customFormat="false" ht="15" hidden="false" customHeight="true" outlineLevel="0" collapsed="false">
      <c r="A1001" s="9" t="s">
        <v>305</v>
      </c>
      <c r="B1001" s="11" t="s">
        <v>122</v>
      </c>
      <c r="C1001" s="11" t="s">
        <v>30</v>
      </c>
      <c r="D1001" s="27" t="n">
        <f aca="false">IF('TEa input'!M68="","",'TEa input'!M68)</f>
        <v>10</v>
      </c>
      <c r="E1001" s="28" t="n">
        <f aca="false">IF(D1001="","",MIN(Sigma!AE137:AE138))</f>
        <v>1.55462317922736</v>
      </c>
    </row>
    <row r="1002" customFormat="false" ht="15" hidden="false" customHeight="true" outlineLevel="0" collapsed="false">
      <c r="A1002" s="9" t="s">
        <v>305</v>
      </c>
      <c r="B1002" s="11" t="s">
        <v>122</v>
      </c>
      <c r="C1002" s="11" t="s">
        <v>31</v>
      </c>
      <c r="D1002" s="27" t="str">
        <f aca="false">IF('TEa input'!O68="","",'TEa input'!O68)</f>
        <v/>
      </c>
      <c r="E1002" s="28" t="str">
        <f aca="false">IF(D1002="","",MIN(Sigma!AF137:AF138))</f>
        <v/>
      </c>
    </row>
    <row r="1003" customFormat="false" ht="15" hidden="false" customHeight="true" outlineLevel="0" collapsed="false">
      <c r="A1003" s="9" t="s">
        <v>305</v>
      </c>
      <c r="B1003" s="11" t="s">
        <v>122</v>
      </c>
      <c r="C1003" s="11" t="s">
        <v>32</v>
      </c>
      <c r="D1003" s="27" t="n">
        <f aca="false">IF('TEa input'!Q68="","",'TEa input'!Q68)</f>
        <v>30</v>
      </c>
      <c r="E1003" s="28" t="n">
        <f aca="false">IF(D1003="","",MIN(Sigma!AG137:AG138))</f>
        <v>4.72118429385687</v>
      </c>
    </row>
    <row r="1004" customFormat="false" ht="15" hidden="false" customHeight="true" outlineLevel="0" collapsed="false">
      <c r="A1004" s="9" t="s">
        <v>305</v>
      </c>
      <c r="B1004" s="11" t="s">
        <v>122</v>
      </c>
      <c r="C1004" s="11" t="s">
        <v>33</v>
      </c>
      <c r="D1004" s="27" t="str">
        <f aca="false">IF('TEa input'!R68="","",'TEa input'!R68)</f>
        <v/>
      </c>
      <c r="E1004" s="28" t="str">
        <f aca="false">IF(D1004="","",MIN(Sigma!AH137:AH138))</f>
        <v/>
      </c>
    </row>
    <row r="1005" customFormat="false" ht="15" hidden="false" customHeight="true" outlineLevel="0" collapsed="false">
      <c r="A1005" s="9" t="s">
        <v>305</v>
      </c>
      <c r="B1005" s="11" t="s">
        <v>122</v>
      </c>
      <c r="C1005" s="11" t="s">
        <v>34</v>
      </c>
      <c r="D1005" s="27" t="str">
        <f aca="false">IF('TEa input'!T68="","",'TEa input'!T68)</f>
        <v/>
      </c>
      <c r="E1005" s="28" t="str">
        <f aca="false">IF(D1005="","",MIN(Sigma!AI137:AI138))</f>
        <v/>
      </c>
    </row>
    <row r="1006" customFormat="false" ht="15" hidden="false" customHeight="true" outlineLevel="0" collapsed="false">
      <c r="A1006" s="9" t="s">
        <v>305</v>
      </c>
      <c r="B1006" s="11" t="s">
        <v>122</v>
      </c>
      <c r="C1006" s="11" t="s">
        <v>320</v>
      </c>
      <c r="D1006" s="27" t="str">
        <f aca="false">IF('TEa input'!Y68="","",'TEa input'!Y68)</f>
        <v/>
      </c>
      <c r="E1006" s="28" t="str">
        <f aca="false">IF(D1006="","",MIN(Sigma!AJ137:AJ138))</f>
        <v/>
      </c>
    </row>
    <row r="1007" customFormat="false" ht="15" hidden="false" customHeight="true" outlineLevel="0" collapsed="false">
      <c r="A1007" s="9" t="s">
        <v>305</v>
      </c>
      <c r="B1007" s="11" t="s">
        <v>122</v>
      </c>
      <c r="C1007" s="11" t="s">
        <v>321</v>
      </c>
      <c r="D1007" s="27" t="str">
        <f aca="false">IF('TEa input'!Z68="","",'TEa input'!Z68)</f>
        <v/>
      </c>
      <c r="E1007" s="28" t="str">
        <f aca="false">IF(D1007="","",MIN(Sigma!AK137:AK138))</f>
        <v/>
      </c>
    </row>
    <row r="1008" customFormat="false" ht="15" hidden="false" customHeight="true" outlineLevel="0" collapsed="false">
      <c r="A1008" s="9" t="s">
        <v>305</v>
      </c>
      <c r="B1008" s="11" t="s">
        <v>122</v>
      </c>
      <c r="C1008" s="11" t="s">
        <v>322</v>
      </c>
      <c r="D1008" s="27" t="str">
        <f aca="false">IF('TEa input'!AA68="","",'TEa input'!AA68)</f>
        <v/>
      </c>
      <c r="E1008" s="28" t="str">
        <f aca="false">IF(D1008="","",MIN(Sigma!AL137:AL138))</f>
        <v/>
      </c>
    </row>
    <row r="1009" customFormat="false" ht="15" hidden="false" customHeight="true" outlineLevel="0" collapsed="false">
      <c r="A1009" s="9" t="s">
        <v>305</v>
      </c>
      <c r="B1009" s="11" t="s">
        <v>122</v>
      </c>
      <c r="C1009" s="11" t="s">
        <v>323</v>
      </c>
      <c r="D1009" s="27" t="str">
        <f aca="false">IF('TEa input'!AB68="","",'TEa input'!AB68)</f>
        <v/>
      </c>
      <c r="E1009" s="28" t="str">
        <f aca="false">IF(D1009="","",MIN(Sigma!AM137:AM138))</f>
        <v/>
      </c>
    </row>
    <row r="1010" customFormat="false" ht="15" hidden="false" customHeight="true" outlineLevel="0" collapsed="false">
      <c r="A1010" s="9" t="s">
        <v>305</v>
      </c>
      <c r="B1010" s="11" t="s">
        <v>122</v>
      </c>
      <c r="C1010" s="11" t="s">
        <v>324</v>
      </c>
      <c r="D1010" s="27" t="str">
        <f aca="false">IF('TEa input'!AC68="","",'TEa input'!AC68)</f>
        <v/>
      </c>
      <c r="E1010" s="28" t="str">
        <f aca="false">IF(D1010="","",MIN(Sigma!AN137:AN138))</f>
        <v/>
      </c>
    </row>
    <row r="1011" customFormat="false" ht="15" hidden="false" customHeight="true" outlineLevel="0" collapsed="false">
      <c r="A1011" s="9" t="s">
        <v>305</v>
      </c>
      <c r="B1011" s="11" t="s">
        <v>122</v>
      </c>
      <c r="C1011" s="11" t="s">
        <v>325</v>
      </c>
      <c r="D1011" s="27" t="str">
        <f aca="false">IF('TEa input'!AD68="","",'TEa input'!AD68)</f>
        <v/>
      </c>
      <c r="E1011" s="28" t="str">
        <f aca="false">IF(D1011="","",MIN(Sigma!AO137:AO138))</f>
        <v/>
      </c>
    </row>
    <row r="1012" customFormat="false" ht="15" hidden="false" customHeight="true" outlineLevel="0" collapsed="false">
      <c r="A1012" s="9" t="s">
        <v>305</v>
      </c>
      <c r="B1012" s="11" t="s">
        <v>122</v>
      </c>
      <c r="C1012" s="29" t="str">
        <f aca="false">IF('TEa input'!AE68="","Other",'TEa input'!AE68)</f>
        <v>Other</v>
      </c>
      <c r="D1012" s="27" t="str">
        <f aca="false">IF('TEa input'!AF68="","",'TEa input'!AF68)</f>
        <v/>
      </c>
      <c r="E1012" s="28" t="str">
        <f aca="false">IF(D1012="","",MIN(Sigma!AP137:AP138))</f>
        <v/>
      </c>
    </row>
  </sheetData>
  <autoFilter ref="A4:E1012"/>
  <conditionalFormatting sqref="E5:E1012">
    <cfRule type="expression" priority="2" aboveAverage="0" equalAverage="0" bottom="0" percent="0" rank="0" text="" dxfId="13">
      <formula>AND(ISNUMBER(E5),E5&lt;3)</formula>
    </cfRule>
    <cfRule type="expression" priority="3" aboveAverage="0" equalAverage="0" bottom="0" percent="0" rank="0" text="" dxfId="14">
      <formula>AND(ISNUMBER(E5),E5&gt;=3,E5&lt;4)</formula>
    </cfRule>
    <cfRule type="expression" priority="4" aboveAverage="0" equalAverage="0" bottom="0" percent="0" rank="0" text="" dxfId="15">
      <formula>AND(ISNUMBER(E5),E5&gt;=4,E5&lt;6)</formula>
    </cfRule>
    <cfRule type="expression" priority="5" aboveAverage="0" equalAverage="0" bottom="0" percent="0" rank="0" text="" dxfId="16">
      <formula>AND(ISNUMBER(E5),E5&gt;=6)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60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6" t="s">
        <v>364</v>
      </c>
    </row>
    <row r="3" customFormat="false" ht="15" hidden="false" customHeight="true" outlineLevel="0" collapsed="false">
      <c r="A3" s="8" t="s">
        <v>365</v>
      </c>
      <c r="B3" s="8" t="s">
        <v>366</v>
      </c>
      <c r="C3" s="8" t="s">
        <v>367</v>
      </c>
      <c r="D3" s="8" t="s">
        <v>368</v>
      </c>
      <c r="E3" s="8" t="s">
        <v>369</v>
      </c>
      <c r="F3" s="8" t="s">
        <v>38</v>
      </c>
    </row>
    <row r="4" customFormat="false" ht="15" hidden="false" customHeight="true" outlineLevel="0" collapsed="false">
      <c r="A4" s="9" t="s">
        <v>26</v>
      </c>
      <c r="B4" s="30" t="s">
        <v>370</v>
      </c>
      <c r="C4" s="30" t="s">
        <v>371</v>
      </c>
      <c r="D4" s="30"/>
      <c r="E4" s="30"/>
      <c r="F4" s="30"/>
    </row>
    <row r="5" customFormat="false" ht="57" hidden="false" customHeight="true" outlineLevel="0" collapsed="false">
      <c r="A5" s="9" t="s">
        <v>27</v>
      </c>
      <c r="B5" s="30" t="s">
        <v>372</v>
      </c>
      <c r="C5" s="30" t="s">
        <v>373</v>
      </c>
      <c r="D5" s="30" t="s">
        <v>374</v>
      </c>
      <c r="E5" s="30"/>
      <c r="F5" s="30" t="s">
        <v>375</v>
      </c>
    </row>
    <row r="6" customFormat="false" ht="90.75" hidden="false" customHeight="true" outlineLevel="0" collapsed="false">
      <c r="A6" s="9" t="s">
        <v>28</v>
      </c>
      <c r="B6" s="30" t="s">
        <v>376</v>
      </c>
      <c r="C6" s="30" t="s">
        <v>377</v>
      </c>
      <c r="D6" s="30" t="s">
        <v>378</v>
      </c>
      <c r="E6" s="30"/>
      <c r="F6" s="30" t="s">
        <v>379</v>
      </c>
    </row>
    <row r="7" customFormat="false" ht="15" hidden="false" customHeight="true" outlineLevel="0" collapsed="false">
      <c r="A7" s="9" t="s">
        <v>29</v>
      </c>
      <c r="B7" s="30"/>
      <c r="C7" s="30" t="s">
        <v>380</v>
      </c>
      <c r="D7" s="30"/>
      <c r="E7" s="30"/>
      <c r="F7" s="30" t="s">
        <v>381</v>
      </c>
    </row>
    <row r="8" customFormat="false" ht="34.5" hidden="false" customHeight="true" outlineLevel="0" collapsed="false">
      <c r="A8" s="9" t="s">
        <v>30</v>
      </c>
      <c r="B8" s="30" t="s">
        <v>382</v>
      </c>
      <c r="C8" s="30" t="s">
        <v>383</v>
      </c>
      <c r="D8" s="30"/>
      <c r="E8" s="30"/>
      <c r="F8" s="30" t="s">
        <v>384</v>
      </c>
    </row>
    <row r="9" customFormat="false" ht="57" hidden="false" customHeight="true" outlineLevel="0" collapsed="false">
      <c r="A9" s="9" t="s">
        <v>31</v>
      </c>
      <c r="B9" s="30" t="s">
        <v>385</v>
      </c>
      <c r="C9" s="30" t="s">
        <v>386</v>
      </c>
      <c r="D9" s="30" t="s">
        <v>387</v>
      </c>
      <c r="E9" s="30"/>
      <c r="F9" s="30" t="s">
        <v>388</v>
      </c>
    </row>
    <row r="10" customFormat="false" ht="34.5" hidden="false" customHeight="true" outlineLevel="0" collapsed="false">
      <c r="A10" s="9" t="s">
        <v>32</v>
      </c>
      <c r="B10" s="30" t="s">
        <v>389</v>
      </c>
      <c r="C10" s="30" t="s">
        <v>390</v>
      </c>
      <c r="D10" s="30" t="s">
        <v>391</v>
      </c>
      <c r="E10" s="30"/>
      <c r="F10" s="30" t="s">
        <v>392</v>
      </c>
    </row>
    <row r="11" customFormat="false" ht="34.5" hidden="false" customHeight="true" outlineLevel="0" collapsed="false">
      <c r="A11" s="9" t="s">
        <v>33</v>
      </c>
      <c r="B11" s="30" t="s">
        <v>393</v>
      </c>
      <c r="C11" s="30" t="s">
        <v>394</v>
      </c>
      <c r="D11" s="30" t="s">
        <v>395</v>
      </c>
      <c r="E11" s="30"/>
      <c r="F11" s="30" t="s">
        <v>396</v>
      </c>
    </row>
    <row r="12" customFormat="false" ht="23.25" hidden="false" customHeight="true" outlineLevel="0" collapsed="false">
      <c r="A12" s="9" t="s">
        <v>397</v>
      </c>
      <c r="B12" s="30"/>
      <c r="C12" s="30" t="s">
        <v>398</v>
      </c>
      <c r="D12" s="30" t="s">
        <v>399</v>
      </c>
      <c r="E12" s="30"/>
      <c r="F12" s="30" t="s">
        <v>400</v>
      </c>
    </row>
    <row r="13" customFormat="false" ht="34.5" hidden="false" customHeight="true" outlineLevel="0" collapsed="false">
      <c r="A13" s="9" t="s">
        <v>36</v>
      </c>
      <c r="B13" s="30" t="s">
        <v>401</v>
      </c>
      <c r="C13" s="30" t="s">
        <v>402</v>
      </c>
      <c r="D13" s="30"/>
      <c r="E13" s="30"/>
      <c r="F13" s="30" t="s">
        <v>403</v>
      </c>
    </row>
    <row r="14" customFormat="false" ht="23.25" hidden="false" customHeight="true" outlineLevel="0" collapsed="false">
      <c r="A14" s="9" t="s">
        <v>404</v>
      </c>
      <c r="B14" s="30"/>
      <c r="C14" s="30" t="s">
        <v>405</v>
      </c>
      <c r="D14" s="30"/>
      <c r="E14" s="30"/>
      <c r="F14" s="30" t="s">
        <v>406</v>
      </c>
    </row>
    <row r="15" customFormat="false" ht="68.25" hidden="false" customHeight="true" outlineLevel="0" collapsed="false">
      <c r="A15" s="9" t="s">
        <v>34</v>
      </c>
      <c r="B15" s="31" t="s">
        <v>370</v>
      </c>
      <c r="C15" s="31" t="s">
        <v>407</v>
      </c>
      <c r="D15" s="30"/>
      <c r="E15" s="30"/>
      <c r="F15" s="31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2026-10-17T22:38:48Z</dcterms:created>
  <dc:creator>openpyxl</dc:creator>
  <dc:description/>
  <dc:language>en-US</dc:language>
  <cp:lastModifiedBy/>
  <dcterms:modified xsi:type="dcterms:W3CDTF">2026-10-17T22:39:17Z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